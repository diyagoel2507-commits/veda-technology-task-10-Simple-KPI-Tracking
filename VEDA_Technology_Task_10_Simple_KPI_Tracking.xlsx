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rm\Desktop\"/>
    </mc:Choice>
  </mc:AlternateContent>
  <xr:revisionPtr revIDLastSave="0" documentId="13_ncr:1_{07F3321B-B86B-4E54-894F-23FD9F6A404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perstore Data" sheetId="1" r:id="rId1"/>
    <sheet name="KPI Summary" sheetId="2" r:id="rId2"/>
  </sheets>
  <definedNames>
    <definedName name="_xlnm._FilterDatabase" localSheetId="0" hidden="1">'Superstore Data'!$A$1:$U$601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 a="1"/>
  <c r="B8" i="2" s="1"/>
  <c r="B7" i="2"/>
  <c r="B6" i="2"/>
  <c r="B5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<sst xmlns="http://schemas.openxmlformats.org/spreadsheetml/2006/main" count="7830" uniqueCount="2177">
  <si>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</si>
  <si>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</si>
  <si>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</si>
  <si>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</si>
  <si>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</si>
  <si>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</si>
  <si>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</si>
  <si>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</si>
  <si>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</si>
  <si>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</si>
  <si>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</si>
  <si>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</si>
  <si>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</si>
  <si>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</si>
  <si>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</si>
  <si>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</si>
  <si>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</si>
  <si>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</si>
  <si>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</si>
  <si>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</si>
  <si>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</si>
  <si>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CA-2022-10518</t>
  </si>
  <si>
    <t>First Class</t>
  </si>
  <si>
    <t>CG-2377</t>
  </si>
  <si>
    <t>Customer 75</t>
  </si>
  <si>
    <t>Consumer</t>
  </si>
  <si>
    <t>United States</t>
  </si>
  <si>
    <t>Jacksonville</t>
  </si>
  <si>
    <t>South</t>
  </si>
  <si>
    <t>PROD-893</t>
  </si>
  <si>
    <t>Furniture</t>
  </si>
  <si>
    <t>Chairs</t>
  </si>
  <si>
    <t>Chairs Product 2</t>
  </si>
  <si>
    <t>CA-2022-10349</t>
  </si>
  <si>
    <t>Standard Class</t>
  </si>
  <si>
    <t>CG-3064</t>
  </si>
  <si>
    <t>Customer 71</t>
  </si>
  <si>
    <t>Corporate</t>
  </si>
  <si>
    <t>Minneapolis</t>
  </si>
  <si>
    <t>Central</t>
  </si>
  <si>
    <t>PROD-908</t>
  </si>
  <si>
    <t>Office Supplies</t>
  </si>
  <si>
    <t>Labels</t>
  </si>
  <si>
    <t>Labels Product 19</t>
  </si>
  <si>
    <t>CA-2022-10148</t>
  </si>
  <si>
    <t>Second Class</t>
  </si>
  <si>
    <t>CG-9365</t>
  </si>
  <si>
    <t>Customer 87</t>
  </si>
  <si>
    <t>Chicago</t>
  </si>
  <si>
    <t>PROD-530</t>
  </si>
  <si>
    <t>Labels Product 23</t>
  </si>
  <si>
    <t>CA-2022-10012</t>
  </si>
  <si>
    <t>CG-2648</t>
  </si>
  <si>
    <t>Customer 104</t>
  </si>
  <si>
    <t>Home Office</t>
  </si>
  <si>
    <t>New York</t>
  </si>
  <si>
    <t>East</t>
  </si>
  <si>
    <t>PROD-353</t>
  </si>
  <si>
    <t>Technology</t>
  </si>
  <si>
    <t>Phones</t>
  </si>
  <si>
    <t>Phones Product 3</t>
  </si>
  <si>
    <t>CA-2022-10178</t>
  </si>
  <si>
    <t>CG-3743</t>
  </si>
  <si>
    <t>Customer 64</t>
  </si>
  <si>
    <t>San Francisco</t>
  </si>
  <si>
    <t>West</t>
  </si>
  <si>
    <t>PROD-189</t>
  </si>
  <si>
    <t>Labels Product 30</t>
  </si>
  <si>
    <t>CA-2022-10047</t>
  </si>
  <si>
    <t>CG-6984</t>
  </si>
  <si>
    <t>Customer 23</t>
  </si>
  <si>
    <t>Philadelphia</t>
  </si>
  <si>
    <t>PROD-764</t>
  </si>
  <si>
    <t>Art</t>
  </si>
  <si>
    <t>Art Product 17</t>
  </si>
  <si>
    <t>CA-2022-10174</t>
  </si>
  <si>
    <t>CG-9835</t>
  </si>
  <si>
    <t>PROD-709</t>
  </si>
  <si>
    <t>Labels Product 2</t>
  </si>
  <si>
    <t>CA-2022-10540</t>
  </si>
  <si>
    <t>CG-3649</t>
  </si>
  <si>
    <t>Customer 52</t>
  </si>
  <si>
    <t>Nashville</t>
  </si>
  <si>
    <t>PROD-107</t>
  </si>
  <si>
    <t>Phones Product 11</t>
  </si>
  <si>
    <t>CA-2022-10087</t>
  </si>
  <si>
    <t>CG-3365</t>
  </si>
  <si>
    <t>Customer 60</t>
  </si>
  <si>
    <t>PROD-330</t>
  </si>
  <si>
    <t>Copiers</t>
  </si>
  <si>
    <t>Copiers Product 25</t>
  </si>
  <si>
    <t>CA-2022-10476</t>
  </si>
  <si>
    <t>CG-9146</t>
  </si>
  <si>
    <t>Customer 21</t>
  </si>
  <si>
    <t>PROD-437</t>
  </si>
  <si>
    <t>Art Product 11</t>
  </si>
  <si>
    <t>CA-2022-10162</t>
  </si>
  <si>
    <t>CG-5897</t>
  </si>
  <si>
    <t>Customer 128</t>
  </si>
  <si>
    <t>PROD-457</t>
  </si>
  <si>
    <t>Furnishings</t>
  </si>
  <si>
    <t>Furnishings Product 11</t>
  </si>
  <si>
    <t>CA-2022-10432</t>
  </si>
  <si>
    <t>CG-1556</t>
  </si>
  <si>
    <t>Customer 137</t>
  </si>
  <si>
    <t>PROD-249</t>
  </si>
  <si>
    <t>Paper</t>
  </si>
  <si>
    <t>Paper Product 18</t>
  </si>
  <si>
    <t>CA-2022-10061</t>
  </si>
  <si>
    <t>CG-5225</t>
  </si>
  <si>
    <t>Customer 54</t>
  </si>
  <si>
    <t>PROD-918</t>
  </si>
  <si>
    <t>Accessories</t>
  </si>
  <si>
    <t>Accessories Product 21</t>
  </si>
  <si>
    <t>CA-2022-10254</t>
  </si>
  <si>
    <t>CG-6578</t>
  </si>
  <si>
    <t>Customer 11</t>
  </si>
  <si>
    <t>PROD-504</t>
  </si>
  <si>
    <t>Furnishings Product 22</t>
  </si>
  <si>
    <t>CA-2022-10386</t>
  </si>
  <si>
    <t>CG-5133</t>
  </si>
  <si>
    <t>Customer 148</t>
  </si>
  <si>
    <t>Denver</t>
  </si>
  <si>
    <t>PROD-636</t>
  </si>
  <si>
    <t>CA-2022-10542</t>
  </si>
  <si>
    <t>CG-6037</t>
  </si>
  <si>
    <t>Customer 142</t>
  </si>
  <si>
    <t>Boston</t>
  </si>
  <si>
    <t>PROD-753</t>
  </si>
  <si>
    <t>Furnishings Product 1</t>
  </si>
  <si>
    <t>CA-2022-10042</t>
  </si>
  <si>
    <t>CG-2460</t>
  </si>
  <si>
    <t>Customer 150</t>
  </si>
  <si>
    <t>PROD-602</t>
  </si>
  <si>
    <t>Storage</t>
  </si>
  <si>
    <t>Storage Product 16</t>
  </si>
  <si>
    <t>CA-2022-10407</t>
  </si>
  <si>
    <t>CG-8280</t>
  </si>
  <si>
    <t>Customer 149</t>
  </si>
  <si>
    <t>Los Angeles</t>
  </si>
  <si>
    <t>PROD-952</t>
  </si>
  <si>
    <t>Paper Product 5</t>
  </si>
  <si>
    <t>CA-2022-10200</t>
  </si>
  <si>
    <t>CG-4901</t>
  </si>
  <si>
    <t>Customer 58</t>
  </si>
  <si>
    <t>PROD-430</t>
  </si>
  <si>
    <t>Furnishings Product 16</t>
  </si>
  <si>
    <t>CA-2022-10412</t>
  </si>
  <si>
    <t>CG-9047</t>
  </si>
  <si>
    <t>Customer 126</t>
  </si>
  <si>
    <t>PROD-851</t>
  </si>
  <si>
    <t>Envelopes</t>
  </si>
  <si>
    <t>Envelopes Product 8</t>
  </si>
  <si>
    <t>CA-2022-10292</t>
  </si>
  <si>
    <t>CG-7297</t>
  </si>
  <si>
    <t>Customer 132</t>
  </si>
  <si>
    <t>PROD-371</t>
  </si>
  <si>
    <t>Tables</t>
  </si>
  <si>
    <t>Tables Product 15</t>
  </si>
  <si>
    <t>CA-2022-10127</t>
  </si>
  <si>
    <t>CG-8531</t>
  </si>
  <si>
    <t>Customer 57</t>
  </si>
  <si>
    <t>Charlotte</t>
  </si>
  <si>
    <t>PROD-695</t>
  </si>
  <si>
    <t>Envelopes Product 24</t>
  </si>
  <si>
    <t>CA-2022-10380</t>
  </si>
  <si>
    <t>CG-4981</t>
  </si>
  <si>
    <t>Customer 22</t>
  </si>
  <si>
    <t>Richmond</t>
  </si>
  <si>
    <t>PROD-762</t>
  </si>
  <si>
    <t>Binders</t>
  </si>
  <si>
    <t>Binders Product 16</t>
  </si>
  <si>
    <t>CA-2022-10272</t>
  </si>
  <si>
    <t>CG-9792</t>
  </si>
  <si>
    <t>Customer 125</t>
  </si>
  <si>
    <t>PROD-665</t>
  </si>
  <si>
    <t>Bookcases</t>
  </si>
  <si>
    <t>Bookcases Product 25</t>
  </si>
  <si>
    <t>CA-2022-10205</t>
  </si>
  <si>
    <t>CG-3472</t>
  </si>
  <si>
    <t>Customer 118</t>
  </si>
  <si>
    <t>Seattle</t>
  </si>
  <si>
    <t>PROD-564</t>
  </si>
  <si>
    <t>Labels Product 12</t>
  </si>
  <si>
    <t>CA-2022-10203</t>
  </si>
  <si>
    <t>CG-9312</t>
  </si>
  <si>
    <t>Customer 129</t>
  </si>
  <si>
    <t>Detroit</t>
  </si>
  <si>
    <t>PROD-137</t>
  </si>
  <si>
    <t>Labels Product 21</t>
  </si>
  <si>
    <t>CA-2022-10258</t>
  </si>
  <si>
    <t>CG-5566</t>
  </si>
  <si>
    <t>Customer 34</t>
  </si>
  <si>
    <t>Dallas</t>
  </si>
  <si>
    <t>PROD-526</t>
  </si>
  <si>
    <t>Furnishings Product 30</t>
  </si>
  <si>
    <t>CA-2022-10522</t>
  </si>
  <si>
    <t>CG-6731</t>
  </si>
  <si>
    <t>Customer 51</t>
  </si>
  <si>
    <t>PROD-492</t>
  </si>
  <si>
    <t>Accessories Product 12</t>
  </si>
  <si>
    <t>CA-2022-10491</t>
  </si>
  <si>
    <t>CG-4683</t>
  </si>
  <si>
    <t>Customer 49</t>
  </si>
  <si>
    <t>Houston</t>
  </si>
  <si>
    <t>PROD-357</t>
  </si>
  <si>
    <t>Tables Product 24</t>
  </si>
  <si>
    <t>CA-2022-10520</t>
  </si>
  <si>
    <t>CG-8102</t>
  </si>
  <si>
    <t>Customer 65</t>
  </si>
  <si>
    <t>PROD-846</t>
  </si>
  <si>
    <t>Copiers Product 26</t>
  </si>
  <si>
    <t>CA-2022-10286</t>
  </si>
  <si>
    <t>CG-2366</t>
  </si>
  <si>
    <t>PROD-627</t>
  </si>
  <si>
    <t>Phones Product 28</t>
  </si>
  <si>
    <t>CA-2022-10298</t>
  </si>
  <si>
    <t>CG-4829</t>
  </si>
  <si>
    <t>PROD-563</t>
  </si>
  <si>
    <t>Envelopes Product 6</t>
  </si>
  <si>
    <t>CA-2022-10322</t>
  </si>
  <si>
    <t>CG-2172</t>
  </si>
  <si>
    <t>Customer 121</t>
  </si>
  <si>
    <t>PROD-939</t>
  </si>
  <si>
    <t>Bookcases Product 10</t>
  </si>
  <si>
    <t>CA-2022-10396</t>
  </si>
  <si>
    <t>CG-3486</t>
  </si>
  <si>
    <t>Customer 50</t>
  </si>
  <si>
    <t>PROD-217</t>
  </si>
  <si>
    <t>Envelopes Product 10</t>
  </si>
  <si>
    <t>CA-2022-10395</t>
  </si>
  <si>
    <t>CG-3510</t>
  </si>
  <si>
    <t>Customer 29</t>
  </si>
  <si>
    <t>Phoenix</t>
  </si>
  <si>
    <t>PROD-718</t>
  </si>
  <si>
    <t>Bookcases Product 26</t>
  </si>
  <si>
    <t>CA-2022-10430</t>
  </si>
  <si>
    <t>CG-3711</t>
  </si>
  <si>
    <t>Customer 26</t>
  </si>
  <si>
    <t>PROD-435</t>
  </si>
  <si>
    <t>Accessories Product 6</t>
  </si>
  <si>
    <t>CA-2022-10493</t>
  </si>
  <si>
    <t>CG-4148</t>
  </si>
  <si>
    <t>Customer 1</t>
  </si>
  <si>
    <t>PROD-230</t>
  </si>
  <si>
    <t>Labels Product 3</t>
  </si>
  <si>
    <t>CA-2022-10495</t>
  </si>
  <si>
    <t>CG-4080</t>
  </si>
  <si>
    <t>Customer 53</t>
  </si>
  <si>
    <t>PROD-415</t>
  </si>
  <si>
    <t>Chairs Product 14</t>
  </si>
  <si>
    <t>CA-2022-10243</t>
  </si>
  <si>
    <t>CG-3052</t>
  </si>
  <si>
    <t>Customer 122</t>
  </si>
  <si>
    <t>PROD-792</t>
  </si>
  <si>
    <t>Copiers Product 23</t>
  </si>
  <si>
    <t>CA-2022-10513</t>
  </si>
  <si>
    <t>CG-7922</t>
  </si>
  <si>
    <t>Customer 2</t>
  </si>
  <si>
    <t>PROD-293</t>
  </si>
  <si>
    <t>Paper Product 2</t>
  </si>
  <si>
    <t>CA-2022-10393</t>
  </si>
  <si>
    <t>CG-8482</t>
  </si>
  <si>
    <t>PROD-835</t>
  </si>
  <si>
    <t>Phones Product 17</t>
  </si>
  <si>
    <t>CA-2022-10083</t>
  </si>
  <si>
    <t>CG-9442</t>
  </si>
  <si>
    <t>Customer 127</t>
  </si>
  <si>
    <t>PROD-558</t>
  </si>
  <si>
    <t>Phones Product 20</t>
  </si>
  <si>
    <t>CA-2022-10446</t>
  </si>
  <si>
    <t>CG-9333</t>
  </si>
  <si>
    <t>PROD-183</t>
  </si>
  <si>
    <t>Furnishings Product 15</t>
  </si>
  <si>
    <t>CA-2022-10497</t>
  </si>
  <si>
    <t>CG-9370</t>
  </si>
  <si>
    <t>Customer 32</t>
  </si>
  <si>
    <t>Atlanta</t>
  </si>
  <si>
    <t>PROD-549</t>
  </si>
  <si>
    <t>Furnishings Product 25</t>
  </si>
  <si>
    <t>CA-2022-10310</t>
  </si>
  <si>
    <t>CG-7943</t>
  </si>
  <si>
    <t>Customer 105</t>
  </si>
  <si>
    <t>PROD-537</t>
  </si>
  <si>
    <t>Accessories Product 15</t>
  </si>
  <si>
    <t>CA-2022-10267</t>
  </si>
  <si>
    <t>CG-8774</t>
  </si>
  <si>
    <t>PROD-936</t>
  </si>
  <si>
    <t>Storage Product 28</t>
  </si>
  <si>
    <t>CA-2022-10284</t>
  </si>
  <si>
    <t>Same Day</t>
  </si>
  <si>
    <t>CG-2141</t>
  </si>
  <si>
    <t>Customer 82</t>
  </si>
  <si>
    <t>PROD-165</t>
  </si>
  <si>
    <t>Chairs Product 10</t>
  </si>
  <si>
    <t>CA-2022-10038</t>
  </si>
  <si>
    <t>CG-7777</t>
  </si>
  <si>
    <t>PROD-888</t>
  </si>
  <si>
    <t>Storage Product 5</t>
  </si>
  <si>
    <t>CA-2022-10185</t>
  </si>
  <si>
    <t>CG-4607</t>
  </si>
  <si>
    <t>Customer 24</t>
  </si>
  <si>
    <t>PROD-103</t>
  </si>
  <si>
    <t>Storage Product 3</t>
  </si>
  <si>
    <t>CA-2022-10273</t>
  </si>
  <si>
    <t>CG-1920</t>
  </si>
  <si>
    <t>PROD-964</t>
  </si>
  <si>
    <t>Machines</t>
  </si>
  <si>
    <t>Machines Product 4</t>
  </si>
  <si>
    <t>CA-2022-10053</t>
  </si>
  <si>
    <t>CG-2205</t>
  </si>
  <si>
    <t>Customer 25</t>
  </si>
  <si>
    <t>PROD-279</t>
  </si>
  <si>
    <t>Binders Product 6</t>
  </si>
  <si>
    <t>CA-2022-10173</t>
  </si>
  <si>
    <t>CG-5063</t>
  </si>
  <si>
    <t>Customer 33</t>
  </si>
  <si>
    <t>PROD-618</t>
  </si>
  <si>
    <t>Furnishings Product 20</t>
  </si>
  <si>
    <t>CA-2022-10010</t>
  </si>
  <si>
    <t>CG-8098</t>
  </si>
  <si>
    <t>Customer 147</t>
  </si>
  <si>
    <t>PROD-610</t>
  </si>
  <si>
    <t>Art Product 19</t>
  </si>
  <si>
    <t>CA-2022-10139</t>
  </si>
  <si>
    <t>CG-8568</t>
  </si>
  <si>
    <t>Customer 39</t>
  </si>
  <si>
    <t>PROD-944</t>
  </si>
  <si>
    <t>Bookcases Product 15</t>
  </si>
  <si>
    <t>CA-2022-10155</t>
  </si>
  <si>
    <t>CG-8151</t>
  </si>
  <si>
    <t>Miami</t>
  </si>
  <si>
    <t>PROD-264</t>
  </si>
  <si>
    <t>Envelopes Product 9</t>
  </si>
  <si>
    <t>CA-2022-10091</t>
  </si>
  <si>
    <t>CG-2969</t>
  </si>
  <si>
    <t>Customer 124</t>
  </si>
  <si>
    <t>Machines Product 18</t>
  </si>
  <si>
    <t>CA-2022-10092</t>
  </si>
  <si>
    <t>CG-1986</t>
  </si>
  <si>
    <t>Customer 72</t>
  </si>
  <si>
    <t>PROD-913</t>
  </si>
  <si>
    <t>Labels Product 4</t>
  </si>
  <si>
    <t>CA-2022-10478</t>
  </si>
  <si>
    <t>CG-5482</t>
  </si>
  <si>
    <t>Customer 85</t>
  </si>
  <si>
    <t>Storage Product 4</t>
  </si>
  <si>
    <t>CA-2022-10261</t>
  </si>
  <si>
    <t>CG-6505</t>
  </si>
  <si>
    <t>Customer 106</t>
  </si>
  <si>
    <t>PROD-207</t>
  </si>
  <si>
    <t>Envelopes Product 19</t>
  </si>
  <si>
    <t>CA-2022-10088</t>
  </si>
  <si>
    <t>CG-7430</t>
  </si>
  <si>
    <t>Customer 139</t>
  </si>
  <si>
    <t>PROD-806</t>
  </si>
  <si>
    <t>Binders Product 22</t>
  </si>
  <si>
    <t>CA-2022-10314</t>
  </si>
  <si>
    <t>CG-5136</t>
  </si>
  <si>
    <t>Customer 88</t>
  </si>
  <si>
    <t>PROD-465</t>
  </si>
  <si>
    <t>Machines Product 24</t>
  </si>
  <si>
    <t>CA-2022-10050</t>
  </si>
  <si>
    <t>CG-1345</t>
  </si>
  <si>
    <t>Customer 46</t>
  </si>
  <si>
    <t>PROD-317</t>
  </si>
  <si>
    <t>Art Product 13</t>
  </si>
  <si>
    <t>CA-2022-10145</t>
  </si>
  <si>
    <t>CG-7716</t>
  </si>
  <si>
    <t>Customer 12</t>
  </si>
  <si>
    <t>PROD-829</t>
  </si>
  <si>
    <t>Tables Product 27</t>
  </si>
  <si>
    <t>CA-2022-10555</t>
  </si>
  <si>
    <t>CG-2816</t>
  </si>
  <si>
    <t>PROD-573</t>
  </si>
  <si>
    <t>Labels Product 16</t>
  </si>
  <si>
    <t>CA-2022-10356</t>
  </si>
  <si>
    <t>CG-1821</t>
  </si>
  <si>
    <t>Customer 102</t>
  </si>
  <si>
    <t>Chairs Product 28</t>
  </si>
  <si>
    <t>CA-2022-10379</t>
  </si>
  <si>
    <t>CG-1752</t>
  </si>
  <si>
    <t>Customer 130</t>
  </si>
  <si>
    <t>PROD-745</t>
  </si>
  <si>
    <t>Bookcases Product 14</t>
  </si>
  <si>
    <t>CA-2022-10240</t>
  </si>
  <si>
    <t>CG-9002</t>
  </si>
  <si>
    <t>Customer 5</t>
  </si>
  <si>
    <t>PROD-382</t>
  </si>
  <si>
    <t>Envelopes Product 16</t>
  </si>
  <si>
    <t>CA-2022-10106</t>
  </si>
  <si>
    <t>CG-8693</t>
  </si>
  <si>
    <t>Customer 73</t>
  </si>
  <si>
    <t>Art Product 3</t>
  </si>
  <si>
    <t>CA-2022-10442</t>
  </si>
  <si>
    <t>CG-4227</t>
  </si>
  <si>
    <t>PROD-429</t>
  </si>
  <si>
    <t>CA-2022-10441</t>
  </si>
  <si>
    <t>CG-8593</t>
  </si>
  <si>
    <t>PROD-624</t>
  </si>
  <si>
    <t>CA-2022-10242</t>
  </si>
  <si>
    <t>CG-3672</t>
  </si>
  <si>
    <t>Customer 107</t>
  </si>
  <si>
    <t>PROD-402</t>
  </si>
  <si>
    <t>Phones Product 23</t>
  </si>
  <si>
    <t>CA-2022-10424</t>
  </si>
  <si>
    <t>CG-6781</t>
  </si>
  <si>
    <t>PROD-190</t>
  </si>
  <si>
    <t>Copiers Product 13</t>
  </si>
  <si>
    <t>CA-2022-10253</t>
  </si>
  <si>
    <t>CG-4246</t>
  </si>
  <si>
    <t>Customer 69</t>
  </si>
  <si>
    <t>PROD-355</t>
  </si>
  <si>
    <t>Paper Product 23</t>
  </si>
  <si>
    <t>CA-2022-10575</t>
  </si>
  <si>
    <t>CG-5970</t>
  </si>
  <si>
    <t>Customer 120</t>
  </si>
  <si>
    <t>PROD-110</t>
  </si>
  <si>
    <t>Binders Product 12</t>
  </si>
  <si>
    <t>CA-2022-10582</t>
  </si>
  <si>
    <t>CG-1443</t>
  </si>
  <si>
    <t>Customer 96</t>
  </si>
  <si>
    <t>PROD-763</t>
  </si>
  <si>
    <t>Bookcases Product 28</t>
  </si>
  <si>
    <t>CA-2022-10316</t>
  </si>
  <si>
    <t>CG-8543</t>
  </si>
  <si>
    <t>PROD-206</t>
  </si>
  <si>
    <t>Furnishings Product 12</t>
  </si>
  <si>
    <t>CA-2022-10111</t>
  </si>
  <si>
    <t>CG-8993</t>
  </si>
  <si>
    <t>PROD-164</t>
  </si>
  <si>
    <t>Chairs Product 13</t>
  </si>
  <si>
    <t>CA-2022-10372</t>
  </si>
  <si>
    <t>CG-7713</t>
  </si>
  <si>
    <t>Customer 112</t>
  </si>
  <si>
    <t>PROD-560</t>
  </si>
  <si>
    <t>Binders Product 4</t>
  </si>
  <si>
    <t>CA-2022-10562</t>
  </si>
  <si>
    <t>CG-1565</t>
  </si>
  <si>
    <t>Customer 86</t>
  </si>
  <si>
    <t>PROD-803</t>
  </si>
  <si>
    <t>Bookcases Product 23</t>
  </si>
  <si>
    <t>CA-2022-10124</t>
  </si>
  <si>
    <t>CG-6469</t>
  </si>
  <si>
    <t>Customer 113</t>
  </si>
  <si>
    <t>PROD-245</t>
  </si>
  <si>
    <t>Envelopes Product 20</t>
  </si>
  <si>
    <t>CA-2022-10086</t>
  </si>
  <si>
    <t>CG-2394</t>
  </si>
  <si>
    <t>PROD-629</t>
  </si>
  <si>
    <t>Art Product 8</t>
  </si>
  <si>
    <t>CA-2022-10416</t>
  </si>
  <si>
    <t>CG-5607</t>
  </si>
  <si>
    <t>Customer 146</t>
  </si>
  <si>
    <t>Paper Product 27</t>
  </si>
  <si>
    <t>CA-2022-10158</t>
  </si>
  <si>
    <t>CG-2960</t>
  </si>
  <si>
    <t>PROD-623</t>
  </si>
  <si>
    <t>Phones Product 6</t>
  </si>
  <si>
    <t>CA-2022-10422</t>
  </si>
  <si>
    <t>CG-2075</t>
  </si>
  <si>
    <t>Customer 31</t>
  </si>
  <si>
    <t>PROD-500</t>
  </si>
  <si>
    <t>Binders Product 23</t>
  </si>
  <si>
    <t>CA-2022-10002</t>
  </si>
  <si>
    <t>CG-9226</t>
  </si>
  <si>
    <t>Customer 81</t>
  </si>
  <si>
    <t>PROD-971</t>
  </si>
  <si>
    <t>Accessories Product 4</t>
  </si>
  <si>
    <t>CA-2022-10029</t>
  </si>
  <si>
    <t>CG-4072</t>
  </si>
  <si>
    <t>Customer 131</t>
  </si>
  <si>
    <t>Columbus</t>
  </si>
  <si>
    <t>PROD-289</t>
  </si>
  <si>
    <t>Envelopes Product 25</t>
  </si>
  <si>
    <t>CA-2022-10028</t>
  </si>
  <si>
    <t>CG-4141</t>
  </si>
  <si>
    <t>Customer 19</t>
  </si>
  <si>
    <t>PROD-975</t>
  </si>
  <si>
    <t>Labels Product 22</t>
  </si>
  <si>
    <t>CA-2022-10181</t>
  </si>
  <si>
    <t>CG-8432</t>
  </si>
  <si>
    <t>PROD-771</t>
  </si>
  <si>
    <t>Paper Product 25</t>
  </si>
  <si>
    <t>CA-2022-10279</t>
  </si>
  <si>
    <t>CG-7748</t>
  </si>
  <si>
    <t>PROD-271</t>
  </si>
  <si>
    <t>Tables Product 6</t>
  </si>
  <si>
    <t>CA-2022-10370</t>
  </si>
  <si>
    <t>CG-5235</t>
  </si>
  <si>
    <t>PROD-858</t>
  </si>
  <si>
    <t>Paper Product 12</t>
  </si>
  <si>
    <t>CA-2022-10054</t>
  </si>
  <si>
    <t>CG-7704</t>
  </si>
  <si>
    <t>CA-2022-10539</t>
  </si>
  <si>
    <t>CG-6289</t>
  </si>
  <si>
    <t>Customer 119</t>
  </si>
  <si>
    <t>PROD-480</t>
  </si>
  <si>
    <t>CA-2022-10353</t>
  </si>
  <si>
    <t>CG-6065</t>
  </si>
  <si>
    <t>Customer 97</t>
  </si>
  <si>
    <t>PROD-739</t>
  </si>
  <si>
    <t>Paper Product 13</t>
  </si>
  <si>
    <t>CA-2022-10444</t>
  </si>
  <si>
    <t>CG-8844</t>
  </si>
  <si>
    <t>PROD-390</t>
  </si>
  <si>
    <t>CA-2022-10231</t>
  </si>
  <si>
    <t>CG-2574</t>
  </si>
  <si>
    <t>Phones Product 27</t>
  </si>
  <si>
    <t>CA-2022-10222</t>
  </si>
  <si>
    <t>CG-7982</t>
  </si>
  <si>
    <t>Customer 4</t>
  </si>
  <si>
    <t>PROD-754</t>
  </si>
  <si>
    <t>Copiers Product 8</t>
  </si>
  <si>
    <t>CA-2022-10410</t>
  </si>
  <si>
    <t>CG-9817</t>
  </si>
  <si>
    <t>Customer 28</t>
  </si>
  <si>
    <t>Bookcases Product 8</t>
  </si>
  <si>
    <t>CA-2022-10192</t>
  </si>
  <si>
    <t>CG-4093</t>
  </si>
  <si>
    <t>Customer 115</t>
  </si>
  <si>
    <t>Phones Product 7</t>
  </si>
  <si>
    <t>CA-2022-10152</t>
  </si>
  <si>
    <t>CG-7583</t>
  </si>
  <si>
    <t>Customer 7</t>
  </si>
  <si>
    <t>PROD-520</t>
  </si>
  <si>
    <t>CA-2022-10123</t>
  </si>
  <si>
    <t>CG-4959</t>
  </si>
  <si>
    <t>PROD-769</t>
  </si>
  <si>
    <t>Chairs Product 18</t>
  </si>
  <si>
    <t>CA-2022-10457</t>
  </si>
  <si>
    <t>CG-6873</t>
  </si>
  <si>
    <t>Customer 43</t>
  </si>
  <si>
    <t>PROD-919</t>
  </si>
  <si>
    <t>Accessories Product 5</t>
  </si>
  <si>
    <t>CA-2022-10465</t>
  </si>
  <si>
    <t>CG-2741</t>
  </si>
  <si>
    <t>PROD-810</t>
  </si>
  <si>
    <t>Chairs Product 4</t>
  </si>
  <si>
    <t>CA-2022-10084</t>
  </si>
  <si>
    <t>CG-2266</t>
  </si>
  <si>
    <t>PROD-666</t>
  </si>
  <si>
    <t>Machines Product 14</t>
  </si>
  <si>
    <t>CA-2022-10140</t>
  </si>
  <si>
    <t>CG-7999</t>
  </si>
  <si>
    <t>Customer 14</t>
  </si>
  <si>
    <t>PROD-713</t>
  </si>
  <si>
    <t>Storage Product 23</t>
  </si>
  <si>
    <t>CA-2022-10325</t>
  </si>
  <si>
    <t>CG-6413</t>
  </si>
  <si>
    <t>Customer 44</t>
  </si>
  <si>
    <t>PROD-655</t>
  </si>
  <si>
    <t>Furnishings Product 10</t>
  </si>
  <si>
    <t>CA-2022-10112</t>
  </si>
  <si>
    <t>CG-8961</t>
  </si>
  <si>
    <t>PROD-863</t>
  </si>
  <si>
    <t>Accessories Product 18</t>
  </si>
  <si>
    <t>CA-2022-10195</t>
  </si>
  <si>
    <t>CG-2988</t>
  </si>
  <si>
    <t>PROD-830</t>
  </si>
  <si>
    <t>CA-2022-10566</t>
  </si>
  <si>
    <t>CG-6055</t>
  </si>
  <si>
    <t>Customer 77</t>
  </si>
  <si>
    <t>PROD-344</t>
  </si>
  <si>
    <t>Furnishings Product 17</t>
  </si>
  <si>
    <t>CA-2022-10409</t>
  </si>
  <si>
    <t>CG-4718</t>
  </si>
  <si>
    <t>PROD-942</t>
  </si>
  <si>
    <t>Furnishings Product 24</t>
  </si>
  <si>
    <t>CA-2022-10342</t>
  </si>
  <si>
    <t>CG-2407</t>
  </si>
  <si>
    <t>PROD-336</t>
  </si>
  <si>
    <t>Tables Product 3</t>
  </si>
  <si>
    <t>CA-2022-10291</t>
  </si>
  <si>
    <t>CG-9236</t>
  </si>
  <si>
    <t>Customer 134</t>
  </si>
  <si>
    <t>PROD-169</t>
  </si>
  <si>
    <t>CA-2022-10259</t>
  </si>
  <si>
    <t>CG-7781</t>
  </si>
  <si>
    <t>PROD-377</t>
  </si>
  <si>
    <t>CA-2022-10436</t>
  </si>
  <si>
    <t>CG-5541</t>
  </si>
  <si>
    <t>PROD-200</t>
  </si>
  <si>
    <t>Tables Product 29</t>
  </si>
  <si>
    <t>CA-2022-10313</t>
  </si>
  <si>
    <t>CG-1283</t>
  </si>
  <si>
    <t>PROD-286</t>
  </si>
  <si>
    <t>Binders Product 18</t>
  </si>
  <si>
    <t>CA-2022-10305</t>
  </si>
  <si>
    <t>CG-5284</t>
  </si>
  <si>
    <t>Customer 79</t>
  </si>
  <si>
    <t>PROD-281</t>
  </si>
  <si>
    <t>Bookcases Product 19</t>
  </si>
  <si>
    <t>CA-2022-10340</t>
  </si>
  <si>
    <t>CG-2168</t>
  </si>
  <si>
    <t>PROD-796</t>
  </si>
  <si>
    <t>Bookcases Product 30</t>
  </si>
  <si>
    <t>CA-2022-10394</t>
  </si>
  <si>
    <t>CG-7370</t>
  </si>
  <si>
    <t>CA-2022-10207</t>
  </si>
  <si>
    <t>CG-1146</t>
  </si>
  <si>
    <t>PROD-481</t>
  </si>
  <si>
    <t>Tables Product 28</t>
  </si>
  <si>
    <t>CA-2022-10119</t>
  </si>
  <si>
    <t>CG-5082</t>
  </si>
  <si>
    <t>Storage Product 22</t>
  </si>
  <si>
    <t>CA-2022-10017</t>
  </si>
  <si>
    <t>CG-7655</t>
  </si>
  <si>
    <t>Customer 144</t>
  </si>
  <si>
    <t>PROD-982</t>
  </si>
  <si>
    <t>Tables Product 23</t>
  </si>
  <si>
    <t>CA-2022-10346</t>
  </si>
  <si>
    <t>CG-7522</t>
  </si>
  <si>
    <t>Customer 59</t>
  </si>
  <si>
    <t>PROD-202</t>
  </si>
  <si>
    <t>Labels Product 28</t>
  </si>
  <si>
    <t>CA-2022-10374</t>
  </si>
  <si>
    <t>CG-1808</t>
  </si>
  <si>
    <t>PROD-146</t>
  </si>
  <si>
    <t>Storage Product 2</t>
  </si>
  <si>
    <t>CA-2022-10585</t>
  </si>
  <si>
    <t>CG-7793</t>
  </si>
  <si>
    <t>PROD-253</t>
  </si>
  <si>
    <t>CA-2022-10523</t>
  </si>
  <si>
    <t>CG-3354</t>
  </si>
  <si>
    <t>Customer 10</t>
  </si>
  <si>
    <t>PROD-417</t>
  </si>
  <si>
    <t>Envelopes Product 17</t>
  </si>
  <si>
    <t>CA-2022-10354</t>
  </si>
  <si>
    <t>CG-4880</t>
  </si>
  <si>
    <t>Customer 20</t>
  </si>
  <si>
    <t>Labels Product 25</t>
  </si>
  <si>
    <t>CA-2022-10317</t>
  </si>
  <si>
    <t>CG-9096</t>
  </si>
  <si>
    <t>Customer 76</t>
  </si>
  <si>
    <t>PROD-795</t>
  </si>
  <si>
    <t>CA-2022-10528</t>
  </si>
  <si>
    <t>CG-1569</t>
  </si>
  <si>
    <t>CA-2022-10215</t>
  </si>
  <si>
    <t>CG-7539</t>
  </si>
  <si>
    <t>PROD-757</t>
  </si>
  <si>
    <t>Binders Product 30</t>
  </si>
  <si>
    <t>CA-2022-10247</t>
  </si>
  <si>
    <t>CG-9901</t>
  </si>
  <si>
    <t>PROD-853</t>
  </si>
  <si>
    <t>Furnishings Product 18</t>
  </si>
  <si>
    <t>CA-2022-10089</t>
  </si>
  <si>
    <t>CG-4568</t>
  </si>
  <si>
    <t>PROD-923</t>
  </si>
  <si>
    <t>Envelopes Product 28</t>
  </si>
  <si>
    <t>CA-2022-10241</t>
  </si>
  <si>
    <t>CG-4672</t>
  </si>
  <si>
    <t>Customer 66</t>
  </si>
  <si>
    <t>PROD-998</t>
  </si>
  <si>
    <t>Paper Product 26</t>
  </si>
  <si>
    <t>CA-2022-10081</t>
  </si>
  <si>
    <t>CG-6791</t>
  </si>
  <si>
    <t>Customer 80</t>
  </si>
  <si>
    <t>PROD-772</t>
  </si>
  <si>
    <t>CA-2022-10171</t>
  </si>
  <si>
    <t>CG-2673</t>
  </si>
  <si>
    <t>PROD-914</t>
  </si>
  <si>
    <t>CA-2022-10226</t>
  </si>
  <si>
    <t>CG-9954</t>
  </si>
  <si>
    <t>Phones Product 24</t>
  </si>
  <si>
    <t>CA-2022-10343</t>
  </si>
  <si>
    <t>CG-6490</t>
  </si>
  <si>
    <t>Customer 117</t>
  </si>
  <si>
    <t>PROD-300</t>
  </si>
  <si>
    <t>Bookcases Product 17</t>
  </si>
  <si>
    <t>CA-2022-10479</t>
  </si>
  <si>
    <t>CG-3837</t>
  </si>
  <si>
    <t>Customer 78</t>
  </si>
  <si>
    <t>PROD-143</t>
  </si>
  <si>
    <t>CA-2022-10400</t>
  </si>
  <si>
    <t>CG-5841</t>
  </si>
  <si>
    <t>Customer 116</t>
  </si>
  <si>
    <t>PROD-141</t>
  </si>
  <si>
    <t>Machines Product 28</t>
  </si>
  <si>
    <t>CA-2022-10327</t>
  </si>
  <si>
    <t>CG-7401</t>
  </si>
  <si>
    <t>Customer 18</t>
  </si>
  <si>
    <t>PROD-328</t>
  </si>
  <si>
    <t>Copiers Product 2</t>
  </si>
  <si>
    <t>CA-2022-10198</t>
  </si>
  <si>
    <t>CG-6285</t>
  </si>
  <si>
    <t>Customer 145</t>
  </si>
  <si>
    <t>PROD-894</t>
  </si>
  <si>
    <t>CA-2022-10468</t>
  </si>
  <si>
    <t>CG-2832</t>
  </si>
  <si>
    <t>PROD-147</t>
  </si>
  <si>
    <t>Tables Product 8</t>
  </si>
  <si>
    <t>CA-2022-10591</t>
  </si>
  <si>
    <t>CG-9850</t>
  </si>
  <si>
    <t>PROD-681</t>
  </si>
  <si>
    <t>Storage Product 12</t>
  </si>
  <si>
    <t>CA-2022-10049</t>
  </si>
  <si>
    <t>CG-4719</t>
  </si>
  <si>
    <t>PROD-423</t>
  </si>
  <si>
    <t>CA-2022-10186</t>
  </si>
  <si>
    <t>CG-7534</t>
  </si>
  <si>
    <t>Customer 103</t>
  </si>
  <si>
    <t>PROD-416</t>
  </si>
  <si>
    <t>CA-2022-10069</t>
  </si>
  <si>
    <t>CG-8878</t>
  </si>
  <si>
    <t>PROD-670</t>
  </si>
  <si>
    <t>Machines Product 8</t>
  </si>
  <si>
    <t>CA-2022-10419</t>
  </si>
  <si>
    <t>CG-4291</t>
  </si>
  <si>
    <t>Customer 141</t>
  </si>
  <si>
    <t>Bookcases Product 7</t>
  </si>
  <si>
    <t>CA-2022-10574</t>
  </si>
  <si>
    <t>CG-3160</t>
  </si>
  <si>
    <t>PROD-595</t>
  </si>
  <si>
    <t>Labels Product 6</t>
  </si>
  <si>
    <t>CA-2022-10164</t>
  </si>
  <si>
    <t>CG-8480</t>
  </si>
  <si>
    <t>PROD-436</t>
  </si>
  <si>
    <t>Accessories Product 23</t>
  </si>
  <si>
    <t>CA-2022-10202</t>
  </si>
  <si>
    <t>CG-6738</t>
  </si>
  <si>
    <t>Customer 37</t>
  </si>
  <si>
    <t>Phones Product 2</t>
  </si>
  <si>
    <t>CA-2022-10558</t>
  </si>
  <si>
    <t>CG-1107</t>
  </si>
  <si>
    <t>Customer 91</t>
  </si>
  <si>
    <t>PROD-185</t>
  </si>
  <si>
    <t>Tables Product 30</t>
  </si>
  <si>
    <t>CA-2022-10289</t>
  </si>
  <si>
    <t>CG-3296</t>
  </si>
  <si>
    <t>Customer 38</t>
  </si>
  <si>
    <t>PROD-174</t>
  </si>
  <si>
    <t>Art Product 14</t>
  </si>
  <si>
    <t>CA-2022-10095</t>
  </si>
  <si>
    <t>CG-2177</t>
  </si>
  <si>
    <t>PROD-403</t>
  </si>
  <si>
    <t>Tables Product 5</t>
  </si>
  <si>
    <t>CA-2022-10156</t>
  </si>
  <si>
    <t>CG-9491</t>
  </si>
  <si>
    <t>PROD-935</t>
  </si>
  <si>
    <t>Machines Product 19</t>
  </si>
  <si>
    <t>CA-2022-10283</t>
  </si>
  <si>
    <t>CG-2342</t>
  </si>
  <si>
    <t>Customer 92</t>
  </si>
  <si>
    <t>PROD-155</t>
  </si>
  <si>
    <t>Accessories Product 27</t>
  </si>
  <si>
    <t>CA-2022-10516</t>
  </si>
  <si>
    <t>CG-9724</t>
  </si>
  <si>
    <t>PROD-955</t>
  </si>
  <si>
    <t>Phones Product 15</t>
  </si>
  <si>
    <t>CA-2022-10233</t>
  </si>
  <si>
    <t>CG-1336</t>
  </si>
  <si>
    <t>PROD-372</t>
  </si>
  <si>
    <t>Chairs Product 24</t>
  </si>
  <si>
    <t>CA-2022-10239</t>
  </si>
  <si>
    <t>CG-5567</t>
  </si>
  <si>
    <t>Customer 114</t>
  </si>
  <si>
    <t>PROD-591</t>
  </si>
  <si>
    <t>Art Product 27</t>
  </si>
  <si>
    <t>CA-2022-10564</t>
  </si>
  <si>
    <t>CG-5717</t>
  </si>
  <si>
    <t>PROD-113</t>
  </si>
  <si>
    <t>Phones Product 5</t>
  </si>
  <si>
    <t>CA-2022-10288</t>
  </si>
  <si>
    <t>CG-5340</t>
  </si>
  <si>
    <t>Customer 109</t>
  </si>
  <si>
    <t>PROD-898</t>
  </si>
  <si>
    <t>Paper Product 21</t>
  </si>
  <si>
    <t>CA-2022-10376</t>
  </si>
  <si>
    <t>CG-1615</t>
  </si>
  <si>
    <t>Art Product 21</t>
  </si>
  <si>
    <t>CA-2022-10428</t>
  </si>
  <si>
    <t>CG-6322</t>
  </si>
  <si>
    <t>Customer 15</t>
  </si>
  <si>
    <t>PROD-727</t>
  </si>
  <si>
    <t>CA-2022-10130</t>
  </si>
  <si>
    <t>CG-8875</t>
  </si>
  <si>
    <t>PROD-426</t>
  </si>
  <si>
    <t>Paper Product 22</t>
  </si>
  <si>
    <t>CA-2022-10046</t>
  </si>
  <si>
    <t>CG-7413</t>
  </si>
  <si>
    <t>Furnishings Product 21</t>
  </si>
  <si>
    <t>CA-2022-10519</t>
  </si>
  <si>
    <t>CG-6938</t>
  </si>
  <si>
    <t>PROD-194</t>
  </si>
  <si>
    <t>Art Product 6</t>
  </si>
  <si>
    <t>CA-2022-10045</t>
  </si>
  <si>
    <t>CG-3832</t>
  </si>
  <si>
    <t>Customer 9</t>
  </si>
  <si>
    <t>PROD-649</t>
  </si>
  <si>
    <t>Furnishings Product 23</t>
  </si>
  <si>
    <t>CA-2022-10309</t>
  </si>
  <si>
    <t>CG-1534</t>
  </si>
  <si>
    <t>Customer 135</t>
  </si>
  <si>
    <t>Copiers Product 7</t>
  </si>
  <si>
    <t>CA-2022-10431</t>
  </si>
  <si>
    <t>CG-5811</t>
  </si>
  <si>
    <t>Customer 42</t>
  </si>
  <si>
    <t>PROD-515</t>
  </si>
  <si>
    <t>CA-2022-10382</t>
  </si>
  <si>
    <t>CG-6249</t>
  </si>
  <si>
    <t>PROD-123</t>
  </si>
  <si>
    <t>Chairs Product 3</t>
  </si>
  <si>
    <t>CA-2022-10404</t>
  </si>
  <si>
    <t>CG-4845</t>
  </si>
  <si>
    <t>PROD-320</t>
  </si>
  <si>
    <t>Machines Product 27</t>
  </si>
  <si>
    <t>CA-2022-10296</t>
  </si>
  <si>
    <t>CG-6810</t>
  </si>
  <si>
    <t>PROD-831</t>
  </si>
  <si>
    <t>Machines Product 16</t>
  </si>
  <si>
    <t>CA-2022-10352</t>
  </si>
  <si>
    <t>CG-6360</t>
  </si>
  <si>
    <t>Customer 99</t>
  </si>
  <si>
    <t>PROD-869</t>
  </si>
  <si>
    <t>Storage Product 25</t>
  </si>
  <si>
    <t>CA-2022-10553</t>
  </si>
  <si>
    <t>CG-9411</t>
  </si>
  <si>
    <t>Customer 3</t>
  </si>
  <si>
    <t>PROD-663</t>
  </si>
  <si>
    <t>CA-2022-10351</t>
  </si>
  <si>
    <t>CG-4557</t>
  </si>
  <si>
    <t>PROD-582</t>
  </si>
  <si>
    <t>Paper Product 3</t>
  </si>
  <si>
    <t>CA-2022-10521</t>
  </si>
  <si>
    <t>CG-7185</t>
  </si>
  <si>
    <t>Customer 110</t>
  </si>
  <si>
    <t>Copiers Product 19</t>
  </si>
  <si>
    <t>CA-2022-10480</t>
  </si>
  <si>
    <t>CG-6672</t>
  </si>
  <si>
    <t>PROD-981</t>
  </si>
  <si>
    <t>CA-2022-10212</t>
  </si>
  <si>
    <t>CG-7239</t>
  </si>
  <si>
    <t>PROD-334</t>
  </si>
  <si>
    <t>CA-2022-10040</t>
  </si>
  <si>
    <t>CG-2646</t>
  </si>
  <si>
    <t>PROD-607</t>
  </si>
  <si>
    <t>Bookcases Product 13</t>
  </si>
  <si>
    <t>CA-2022-10201</t>
  </si>
  <si>
    <t>CG-1690</t>
  </si>
  <si>
    <t>PROD-489</t>
  </si>
  <si>
    <t>Accessories Product 11</t>
  </si>
  <si>
    <t>CA-2022-10004</t>
  </si>
  <si>
    <t>CG-4561</t>
  </si>
  <si>
    <t>Customer 41</t>
  </si>
  <si>
    <t>PROD-234</t>
  </si>
  <si>
    <t>Art Product 9</t>
  </si>
  <si>
    <t>CA-2022-10138</t>
  </si>
  <si>
    <t>CG-1155</t>
  </si>
  <si>
    <t>Customer 47</t>
  </si>
  <si>
    <t>PROD-553</t>
  </si>
  <si>
    <t>CA-2022-10526</t>
  </si>
  <si>
    <t>CG-3939</t>
  </si>
  <si>
    <t>Chairs Product 6</t>
  </si>
  <si>
    <t>CA-2022-10420</t>
  </si>
  <si>
    <t>CG-1028</t>
  </si>
  <si>
    <t>Customer 16</t>
  </si>
  <si>
    <t>PROD-688</t>
  </si>
  <si>
    <t>Bookcases Product 5</t>
  </si>
  <si>
    <t>CA-2022-10490</t>
  </si>
  <si>
    <t>CG-4244</t>
  </si>
  <si>
    <t>Customer 17</t>
  </si>
  <si>
    <t>PROD-325</t>
  </si>
  <si>
    <t>Binders Product 14</t>
  </si>
  <si>
    <t>CA-2022-10375</t>
  </si>
  <si>
    <t>CG-8734</t>
  </si>
  <si>
    <t>Customer 67</t>
  </si>
  <si>
    <t>PROD-614</t>
  </si>
  <si>
    <t>CA-2022-10447</t>
  </si>
  <si>
    <t>CG-8631</t>
  </si>
  <si>
    <t>PROD-660</t>
  </si>
  <si>
    <t>Chairs Product 19</t>
  </si>
  <si>
    <t>CA-2022-10383</t>
  </si>
  <si>
    <t>CG-4735</t>
  </si>
  <si>
    <t>PROD-642</t>
  </si>
  <si>
    <t>CA-2022-10594</t>
  </si>
  <si>
    <t>CG-2945</t>
  </si>
  <si>
    <t>PROD-490</t>
  </si>
  <si>
    <t>CA-2022-10177</t>
  </si>
  <si>
    <t>CG-7353</t>
  </si>
  <si>
    <t>PROD-401</t>
  </si>
  <si>
    <t>Envelopes Product 13</t>
  </si>
  <si>
    <t>CA-2022-10146</t>
  </si>
  <si>
    <t>CG-1340</t>
  </si>
  <si>
    <t>Customer 62</t>
  </si>
  <si>
    <t>PROD-462</t>
  </si>
  <si>
    <t>CA-2022-10208</t>
  </si>
  <si>
    <t>CG-5188</t>
  </si>
  <si>
    <t>Customer 48</t>
  </si>
  <si>
    <t>Phones Product 29</t>
  </si>
  <si>
    <t>CA-2022-10474</t>
  </si>
  <si>
    <t>CG-6969</t>
  </si>
  <si>
    <t>Customer 61</t>
  </si>
  <si>
    <t>PROD-302</t>
  </si>
  <si>
    <t>Binders Product 1</t>
  </si>
  <si>
    <t>CA-2023-10331</t>
  </si>
  <si>
    <t>CG-4734</t>
  </si>
  <si>
    <t>CA-2023-10506</t>
  </si>
  <si>
    <t>CG-8313</t>
  </si>
  <si>
    <t>Customer 111</t>
  </si>
  <si>
    <t>PROD-929</t>
  </si>
  <si>
    <t>CA-2023-10571</t>
  </si>
  <si>
    <t>CG-8919</t>
  </si>
  <si>
    <t>Customer 89</t>
  </si>
  <si>
    <t>PROD-392</t>
  </si>
  <si>
    <t>Art Product 25</t>
  </si>
  <si>
    <t>CA-2023-10193</t>
  </si>
  <si>
    <t>CG-2424</t>
  </si>
  <si>
    <t>PROD-616</t>
  </si>
  <si>
    <t>Machines Product 25</t>
  </si>
  <si>
    <t>CA-2023-10294</t>
  </si>
  <si>
    <t>CG-1734</t>
  </si>
  <si>
    <t>PROD-533</t>
  </si>
  <si>
    <t>CA-2023-10451</t>
  </si>
  <si>
    <t>PROD-308</t>
  </si>
  <si>
    <t>Machines Product 6</t>
  </si>
  <si>
    <t>CA-2023-10326</t>
  </si>
  <si>
    <t>CG-9119</t>
  </si>
  <si>
    <t>PROD-451</t>
  </si>
  <si>
    <t>Copiers Product 12</t>
  </si>
  <si>
    <t>CA-2023-10401</t>
  </si>
  <si>
    <t>CG-5782</t>
  </si>
  <si>
    <t>CA-2023-10547</t>
  </si>
  <si>
    <t>CG-7676</t>
  </si>
  <si>
    <t>Bookcases Product 21</t>
  </si>
  <si>
    <t>CA-2023-10249</t>
  </si>
  <si>
    <t>CG-9378</t>
  </si>
  <si>
    <t>PROD-487</t>
  </si>
  <si>
    <t>Machines Product 13</t>
  </si>
  <si>
    <t>CA-2023-10535</t>
  </si>
  <si>
    <t>CG-8565</t>
  </si>
  <si>
    <t>PROD-789</t>
  </si>
  <si>
    <t>Envelopes Product 29</t>
  </si>
  <si>
    <t>CA-2023-10147</t>
  </si>
  <si>
    <t>CG-6002</t>
  </si>
  <si>
    <t>PROD-657</t>
  </si>
  <si>
    <t>CA-2023-10443</t>
  </si>
  <si>
    <t>CG-3465</t>
  </si>
  <si>
    <t>PROD-925</t>
  </si>
  <si>
    <t>CA-2023-10187</t>
  </si>
  <si>
    <t>CG-8352</t>
  </si>
  <si>
    <t>PROD-478</t>
  </si>
  <si>
    <t>CA-2023-10388</t>
  </si>
  <si>
    <t>CG-4243</t>
  </si>
  <si>
    <t>PROD-483</t>
  </si>
  <si>
    <t>Envelopes Product 18</t>
  </si>
  <si>
    <t>CA-2023-10301</t>
  </si>
  <si>
    <t>CG-8265</t>
  </si>
  <si>
    <t>PROD-576</t>
  </si>
  <si>
    <t>CA-2023-10135</t>
  </si>
  <si>
    <t>CG-6248</t>
  </si>
  <si>
    <t>Customer 63</t>
  </si>
  <si>
    <t>PROD-986</t>
  </si>
  <si>
    <t>CA-2023-10217</t>
  </si>
  <si>
    <t>CG-9799</t>
  </si>
  <si>
    <t>PROD-219</t>
  </si>
  <si>
    <t>Furnishings Product 14</t>
  </si>
  <si>
    <t>CA-2023-10570</t>
  </si>
  <si>
    <t>CG-8820</t>
  </si>
  <si>
    <t>Art Product 18</t>
  </si>
  <si>
    <t>CA-2023-10546</t>
  </si>
  <si>
    <t>CG-5746</t>
  </si>
  <si>
    <t>PROD-138</t>
  </si>
  <si>
    <t>Envelopes Product 5</t>
  </si>
  <si>
    <t>CA-2023-10355</t>
  </si>
  <si>
    <t>CG-9240</t>
  </si>
  <si>
    <t>PROD-725</t>
  </si>
  <si>
    <t>Envelopes Product 15</t>
  </si>
  <si>
    <t>CA-2023-10026</t>
  </si>
  <si>
    <t>CG-6588</t>
  </si>
  <si>
    <t>PROD-243</t>
  </si>
  <si>
    <t>CA-2023-10509</t>
  </si>
  <si>
    <t>CG-2494</t>
  </si>
  <si>
    <t>PROD-987</t>
  </si>
  <si>
    <t>CA-2023-10367</t>
  </si>
  <si>
    <t>CG-2667</t>
  </si>
  <si>
    <t>PROD-728</t>
  </si>
  <si>
    <t>Phones Product 4</t>
  </si>
  <si>
    <t>CA-2023-10584</t>
  </si>
  <si>
    <t>CG-5395</t>
  </si>
  <si>
    <t>PROD-747</t>
  </si>
  <si>
    <t>Chairs Product 23</t>
  </si>
  <si>
    <t>CA-2023-10014</t>
  </si>
  <si>
    <t>CG-8022</t>
  </si>
  <si>
    <t>PROD-758</t>
  </si>
  <si>
    <t>Bookcases Product 4</t>
  </si>
  <si>
    <t>CA-2023-10168</t>
  </si>
  <si>
    <t>CG-9043</t>
  </si>
  <si>
    <t>PROD-705</t>
  </si>
  <si>
    <t>CA-2023-10036</t>
  </si>
  <si>
    <t>CG-8002</t>
  </si>
  <si>
    <t>PROD-580</t>
  </si>
  <si>
    <t>Labels Product 24</t>
  </si>
  <si>
    <t>CA-2023-10414</t>
  </si>
  <si>
    <t>CG-3803</t>
  </si>
  <si>
    <t>PROD-493</t>
  </si>
  <si>
    <t>CA-2023-10339</t>
  </si>
  <si>
    <t>CG-7468</t>
  </si>
  <si>
    <t>Customer 55</t>
  </si>
  <si>
    <t>Furnishings Product 9</t>
  </si>
  <si>
    <t>CA-2023-10034</t>
  </si>
  <si>
    <t>CG-8245</t>
  </si>
  <si>
    <t>PROD-150</t>
  </si>
  <si>
    <t>Labels Product 13</t>
  </si>
  <si>
    <t>CA-2023-10593</t>
  </si>
  <si>
    <t>CG-9733</t>
  </si>
  <si>
    <t>PROD-311</t>
  </si>
  <si>
    <t>CA-2023-10223</t>
  </si>
  <si>
    <t>CG-3690</t>
  </si>
  <si>
    <t>Customer 90</t>
  </si>
  <si>
    <t>PROD-112</t>
  </si>
  <si>
    <t>CA-2023-10115</t>
  </si>
  <si>
    <t>CG-9964</t>
  </si>
  <si>
    <t>Customer 94</t>
  </si>
  <si>
    <t>PROD-419</t>
  </si>
  <si>
    <t>Phones Product 10</t>
  </si>
  <si>
    <t>CA-2023-10512</t>
  </si>
  <si>
    <t>CG-8630</t>
  </si>
  <si>
    <t>Machines Product 3</t>
  </si>
  <si>
    <t>CA-2023-10262</t>
  </si>
  <si>
    <t>CG-5873</t>
  </si>
  <si>
    <t>PROD-460</t>
  </si>
  <si>
    <t>CA-2023-10175</t>
  </si>
  <si>
    <t>CG-8659</t>
  </si>
  <si>
    <t>PROD-125</t>
  </si>
  <si>
    <t>CA-2023-10534</t>
  </si>
  <si>
    <t>CG-1574</t>
  </si>
  <si>
    <t>PROD-586</t>
  </si>
  <si>
    <t>CA-2023-10210</t>
  </si>
  <si>
    <t>CG-1717</t>
  </si>
  <si>
    <t>Customer 83</t>
  </si>
  <si>
    <t>PROD-528</t>
  </si>
  <si>
    <t>CA-2023-10024</t>
  </si>
  <si>
    <t>CG-3786</t>
  </si>
  <si>
    <t>PROD-647</t>
  </si>
  <si>
    <t>CA-2023-10287</t>
  </si>
  <si>
    <t>CG-6708</t>
  </si>
  <si>
    <t>PROD-562</t>
  </si>
  <si>
    <t>Bookcases Product 1</t>
  </si>
  <si>
    <t>CA-2023-10120</t>
  </si>
  <si>
    <t>CG-7272</t>
  </si>
  <si>
    <t>Customer 108</t>
  </si>
  <si>
    <t>PROD-548</t>
  </si>
  <si>
    <t>Envelopes Product 4</t>
  </si>
  <si>
    <t>CA-2023-10345</t>
  </si>
  <si>
    <t>CG-9720</t>
  </si>
  <si>
    <t>Customer 30</t>
  </si>
  <si>
    <t>Tables Product 1</t>
  </si>
  <si>
    <t>CA-2023-10487</t>
  </si>
  <si>
    <t>CG-6152</t>
  </si>
  <si>
    <t>PROD-617</t>
  </si>
  <si>
    <t>Machines Product 9</t>
  </si>
  <si>
    <t>CA-2023-10469</t>
  </si>
  <si>
    <t>CG-5515</t>
  </si>
  <si>
    <t>PROD-943</t>
  </si>
  <si>
    <t>CA-2023-10454</t>
  </si>
  <si>
    <t>CG-2306</t>
  </si>
  <si>
    <t>Customer 74</t>
  </si>
  <si>
    <t>PROD-826</t>
  </si>
  <si>
    <t>Chairs Product 17</t>
  </si>
  <si>
    <t>CA-2023-10369</t>
  </si>
  <si>
    <t>CG-7622</t>
  </si>
  <si>
    <t>PROD-613</t>
  </si>
  <si>
    <t>Labels Product 20</t>
  </si>
  <si>
    <t>CA-2023-10132</t>
  </si>
  <si>
    <t>CG-2749</t>
  </si>
  <si>
    <t>PROD-881</t>
  </si>
  <si>
    <t>Bookcases Product 27</t>
  </si>
  <si>
    <t>CA-2023-10189</t>
  </si>
  <si>
    <t>CG-2914</t>
  </si>
  <si>
    <t>PROD-477</t>
  </si>
  <si>
    <t>Accessories Product 7</t>
  </si>
  <si>
    <t>CA-2023-10060</t>
  </si>
  <si>
    <t>CG-2622</t>
  </si>
  <si>
    <t>PROD-441</t>
  </si>
  <si>
    <t>CA-2023-10417</t>
  </si>
  <si>
    <t>CG-5647</t>
  </si>
  <si>
    <t>PROD-693</t>
  </si>
  <si>
    <t>Machines Product 21</t>
  </si>
  <si>
    <t>CA-2023-10300</t>
  </si>
  <si>
    <t>CG-5657</t>
  </si>
  <si>
    <t>Customer 36</t>
  </si>
  <si>
    <t>PROD-875</t>
  </si>
  <si>
    <t>Binders Product 15</t>
  </si>
  <si>
    <t>CA-2023-10426</t>
  </si>
  <si>
    <t>CG-5416</t>
  </si>
  <si>
    <t>PROD-972</t>
  </si>
  <si>
    <t>Paper Product 24</t>
  </si>
  <si>
    <t>CA-2023-10180</t>
  </si>
  <si>
    <t>CG-9277</t>
  </si>
  <si>
    <t>CA-2023-10381</t>
  </si>
  <si>
    <t>CG-8610</t>
  </si>
  <si>
    <t>Customer 70</t>
  </si>
  <si>
    <t>Binders Product 17</t>
  </si>
  <si>
    <t>CA-2023-10482</t>
  </si>
  <si>
    <t>CG-7343</t>
  </si>
  <si>
    <t>PROD-784</t>
  </si>
  <si>
    <t>CA-2023-10499</t>
  </si>
  <si>
    <t>CG-9988</t>
  </si>
  <si>
    <t>PROD-861</t>
  </si>
  <si>
    <t>Binders Product 3</t>
  </si>
  <si>
    <t>CA-2023-10362</t>
  </si>
  <si>
    <t>CG-1604</t>
  </si>
  <si>
    <t>Envelopes Product 26</t>
  </si>
  <si>
    <t>CA-2023-10276</t>
  </si>
  <si>
    <t>CG-5516</t>
  </si>
  <si>
    <t>Storage Product 14</t>
  </si>
  <si>
    <t>CA-2023-10577</t>
  </si>
  <si>
    <t>CG-6688</t>
  </si>
  <si>
    <t>CA-2023-10001</t>
  </si>
  <si>
    <t>CG-4556</t>
  </si>
  <si>
    <t>PROD-120</t>
  </si>
  <si>
    <t>Binders Product 9</t>
  </si>
  <si>
    <t>CA-2023-10561</t>
  </si>
  <si>
    <t>CG-9823</t>
  </si>
  <si>
    <t>PROD-658</t>
  </si>
  <si>
    <t>Phones Product 30</t>
  </si>
  <si>
    <t>CA-2023-10411</t>
  </si>
  <si>
    <t>CG-1667</t>
  </si>
  <si>
    <t>PROD-470</t>
  </si>
  <si>
    <t>CA-2023-10481</t>
  </si>
  <si>
    <t>CG-7452</t>
  </si>
  <si>
    <t>PROD-212</t>
  </si>
  <si>
    <t>CA-2023-10500</t>
  </si>
  <si>
    <t>CG-1768</t>
  </si>
  <si>
    <t>Customer 123</t>
  </si>
  <si>
    <t>CA-2023-10206</t>
  </si>
  <si>
    <t>CG-5757</t>
  </si>
  <si>
    <t>PROD-820</t>
  </si>
  <si>
    <t>Envelopes Product 30</t>
  </si>
  <si>
    <t>CA-2023-10323</t>
  </si>
  <si>
    <t>CG-4840</t>
  </si>
  <si>
    <t>PROD-184</t>
  </si>
  <si>
    <t>Accessories Product 22</t>
  </si>
  <si>
    <t>CA-2023-10567</t>
  </si>
  <si>
    <t>PROD-491</t>
  </si>
  <si>
    <t>CA-2023-10341</t>
  </si>
  <si>
    <t>CG-1261</t>
  </si>
  <si>
    <t>PROD-170</t>
  </si>
  <si>
    <t>Storage Product 26</t>
  </si>
  <si>
    <t>CA-2023-10144</t>
  </si>
  <si>
    <t>CG-8986</t>
  </si>
  <si>
    <t>PROD-768</t>
  </si>
  <si>
    <t>CA-2023-10108</t>
  </si>
  <si>
    <t>CG-3719</t>
  </si>
  <si>
    <t>Customer 93</t>
  </si>
  <si>
    <t>Art Product 2</t>
  </si>
  <si>
    <t>CA-2023-10157</t>
  </si>
  <si>
    <t>CG-3567</t>
  </si>
  <si>
    <t>PROD-756</t>
  </si>
  <si>
    <t>CA-2023-10214</t>
  </si>
  <si>
    <t>CG-1489</t>
  </si>
  <si>
    <t>Machines Product 10</t>
  </si>
  <si>
    <t>CA-2023-10232</t>
  </si>
  <si>
    <t>CA-2023-10319</t>
  </si>
  <si>
    <t>CG-3506</t>
  </si>
  <si>
    <t>PROD-719</t>
  </si>
  <si>
    <t>CA-2023-10485</t>
  </si>
  <si>
    <t>CG-1632</t>
  </si>
  <si>
    <t>Accessories Product 26</t>
  </si>
  <si>
    <t>CA-2023-10377</t>
  </si>
  <si>
    <t>CG-7870</t>
  </si>
  <si>
    <t>Customer 40</t>
  </si>
  <si>
    <t>CA-2023-10505</t>
  </si>
  <si>
    <t>CG-4367</t>
  </si>
  <si>
    <t>PROD-805</t>
  </si>
  <si>
    <t>CA-2023-10360</t>
  </si>
  <si>
    <t>CG-6820</t>
  </si>
  <si>
    <t>PROD-354</t>
  </si>
  <si>
    <t>Tables Product 12</t>
  </si>
  <si>
    <t>CA-2023-10079</t>
  </si>
  <si>
    <t>CG-5473</t>
  </si>
  <si>
    <t>Chairs Product 15</t>
  </si>
  <si>
    <t>CA-2023-10094</t>
  </si>
  <si>
    <t>CG-8232</t>
  </si>
  <si>
    <t>PROD-927</t>
  </si>
  <si>
    <t>Accessories Product 29</t>
  </si>
  <si>
    <t>CA-2023-10418</t>
  </si>
  <si>
    <t>CG-3870</t>
  </si>
  <si>
    <t>PROD-775</t>
  </si>
  <si>
    <t>CA-2023-10311</t>
  </si>
  <si>
    <t>CG-8996</t>
  </si>
  <si>
    <t>PROD-708</t>
  </si>
  <si>
    <t>CA-2023-10032</t>
  </si>
  <si>
    <t>CG-1009</t>
  </si>
  <si>
    <t>Customer 56</t>
  </si>
  <si>
    <t>PROD-341</t>
  </si>
  <si>
    <t>CA-2023-10363</t>
  </si>
  <si>
    <t>CG-5698</t>
  </si>
  <si>
    <t>PROD-916</t>
  </si>
  <si>
    <t>Chairs Product 11</t>
  </si>
  <si>
    <t>CA-2023-10350</t>
  </si>
  <si>
    <t>CG-7658</t>
  </si>
  <si>
    <t>PROD-678</t>
  </si>
  <si>
    <t>CA-2023-10188</t>
  </si>
  <si>
    <t>CG-4551</t>
  </si>
  <si>
    <t>PROD-884</t>
  </si>
  <si>
    <t>CA-2023-10044</t>
  </si>
  <si>
    <t>CG-5208</t>
  </si>
  <si>
    <t>Customer 140</t>
  </si>
  <si>
    <t>CA-2023-10264</t>
  </si>
  <si>
    <t>CG-1279</t>
  </si>
  <si>
    <t>PROD-945</t>
  </si>
  <si>
    <t>CA-2023-10384</t>
  </si>
  <si>
    <t>CG-4071</t>
  </si>
  <si>
    <t>CA-2023-10371</t>
  </si>
  <si>
    <t>CG-3509</t>
  </si>
  <si>
    <t>Customer 143</t>
  </si>
  <si>
    <t>PROD-731</t>
  </si>
  <si>
    <t>CA-2023-10365</t>
  </si>
  <si>
    <t>CG-7966</t>
  </si>
  <si>
    <t>CA-2023-10176</t>
  </si>
  <si>
    <t>CG-3606</t>
  </si>
  <si>
    <t>PROD-104</t>
  </si>
  <si>
    <t>Copiers Product 20</t>
  </si>
  <si>
    <t>CA-2023-10190</t>
  </si>
  <si>
    <t>CG-3230</t>
  </si>
  <si>
    <t>CA-2023-10101</t>
  </si>
  <si>
    <t>CG-3349</t>
  </si>
  <si>
    <t>CA-2023-10344</t>
  </si>
  <si>
    <t>CG-6585</t>
  </si>
  <si>
    <t>PROD-862</t>
  </si>
  <si>
    <t>Envelopes Product 7</t>
  </si>
  <si>
    <t>CA-2023-10013</t>
  </si>
  <si>
    <t>CG-5911</t>
  </si>
  <si>
    <t>PROD-995</t>
  </si>
  <si>
    <t>Furnishings Product 8</t>
  </si>
  <si>
    <t>CA-2023-10536</t>
  </si>
  <si>
    <t>CG-3962</t>
  </si>
  <si>
    <t>PROD-256</t>
  </si>
  <si>
    <t>Paper Product 6</t>
  </si>
  <si>
    <t>CA-2023-10357</t>
  </si>
  <si>
    <t>CG-1564</t>
  </si>
  <si>
    <t>PROD-570</t>
  </si>
  <si>
    <t>CA-2023-10043</t>
  </si>
  <si>
    <t>CG-9195</t>
  </si>
  <si>
    <t>PROD-980</t>
  </si>
  <si>
    <t>CA-2023-10488</t>
  </si>
  <si>
    <t>CG-8028</t>
  </si>
  <si>
    <t>Customer 95</t>
  </si>
  <si>
    <t>PROD-722</t>
  </si>
  <si>
    <t>Phones Product 18</t>
  </si>
  <si>
    <t>CA-2023-10225</t>
  </si>
  <si>
    <t>CG-8431</t>
  </si>
  <si>
    <t>PROD-833</t>
  </si>
  <si>
    <t>Copiers Product 14</t>
  </si>
  <si>
    <t>CA-2023-10597</t>
  </si>
  <si>
    <t>CG-4925</t>
  </si>
  <si>
    <t>Tables Product 18</t>
  </si>
  <si>
    <t>CA-2023-10169</t>
  </si>
  <si>
    <t>CG-6355</t>
  </si>
  <si>
    <t>PROD-554</t>
  </si>
  <si>
    <t>Paper Product 9</t>
  </si>
  <si>
    <t>CA-2023-10529</t>
  </si>
  <si>
    <t>CG-8236</t>
  </si>
  <si>
    <t>PROD-885</t>
  </si>
  <si>
    <t>CA-2023-10453</t>
  </si>
  <si>
    <t>CG-9808</t>
  </si>
  <si>
    <t>PROD-620</t>
  </si>
  <si>
    <t>CA-2023-10554</t>
  </si>
  <si>
    <t>CG-9846</t>
  </si>
  <si>
    <t>CA-2023-10573</t>
  </si>
  <si>
    <t>CG-4535</t>
  </si>
  <si>
    <t>PROD-965</t>
  </si>
  <si>
    <t>Storage Product 7</t>
  </si>
  <si>
    <t>CA-2023-10348</t>
  </si>
  <si>
    <t>CG-4382</t>
  </si>
  <si>
    <t>Customer 68</t>
  </si>
  <si>
    <t>PROD-187</t>
  </si>
  <si>
    <t>CA-2023-10015</t>
  </si>
  <si>
    <t>CG-4170</t>
  </si>
  <si>
    <t>PROD-352</t>
  </si>
  <si>
    <t>CA-2023-10244</t>
  </si>
  <si>
    <t>CG-2625</t>
  </si>
  <si>
    <t>PROD-544</t>
  </si>
  <si>
    <t>Labels Product 29</t>
  </si>
  <si>
    <t>CA-2023-10308</t>
  </si>
  <si>
    <t>CG-2916</t>
  </si>
  <si>
    <t>PROD-809</t>
  </si>
  <si>
    <t>CA-2023-10263</t>
  </si>
  <si>
    <t>CG-8240</t>
  </si>
  <si>
    <t>Tables Product 10</t>
  </si>
  <si>
    <t>CA-2023-10102</t>
  </si>
  <si>
    <t>CG-4713</t>
  </si>
  <si>
    <t>PROD-638</t>
  </si>
  <si>
    <t>CA-2023-10282</t>
  </si>
  <si>
    <t>CG-3313</t>
  </si>
  <si>
    <t>PROD-468</t>
  </si>
  <si>
    <t>Binders Product 25</t>
  </si>
  <si>
    <t>CA-2023-10172</t>
  </si>
  <si>
    <t>CG-9931</t>
  </si>
  <si>
    <t>PROD-957</t>
  </si>
  <si>
    <t>CA-2023-10321</t>
  </si>
  <si>
    <t>CG-4122</t>
  </si>
  <si>
    <t>PROD-659</t>
  </si>
  <si>
    <t>CA-2023-10587</t>
  </si>
  <si>
    <t>CG-7208</t>
  </si>
  <si>
    <t>PROD-583</t>
  </si>
  <si>
    <t>Tables Product 7</t>
  </si>
  <si>
    <t>CA-2023-10337</t>
  </si>
  <si>
    <t>CG-1706</t>
  </si>
  <si>
    <t>PROD-213</t>
  </si>
  <si>
    <t>Phones Product 25</t>
  </si>
  <si>
    <t>CA-2023-10599</t>
  </si>
  <si>
    <t>CG-6977</t>
  </si>
  <si>
    <t>PROD-940</t>
  </si>
  <si>
    <t>CA-2023-10463</t>
  </si>
  <si>
    <t>CG-8727</t>
  </si>
  <si>
    <t>PROD-105</t>
  </si>
  <si>
    <t>CA-2023-10537</t>
  </si>
  <si>
    <t>CG-7869</t>
  </si>
  <si>
    <t>PROD-407</t>
  </si>
  <si>
    <t>Copiers Product 30</t>
  </si>
  <si>
    <t>CA-2023-10107</t>
  </si>
  <si>
    <t>CG-3530</t>
  </si>
  <si>
    <t>PROD-752</t>
  </si>
  <si>
    <t>CA-2023-10057</t>
  </si>
  <si>
    <t>CG-3198</t>
  </si>
  <si>
    <t>PROD-723</t>
  </si>
  <si>
    <t>CA-2023-10440</t>
  </si>
  <si>
    <t>CG-3492</t>
  </si>
  <si>
    <t>PROD-807</t>
  </si>
  <si>
    <t>Art Product 26</t>
  </si>
  <si>
    <t>CA-2023-10184</t>
  </si>
  <si>
    <t>CG-4180</t>
  </si>
  <si>
    <t>Customer 136</t>
  </si>
  <si>
    <t>PROD-467</t>
  </si>
  <si>
    <t>CA-2023-10515</t>
  </si>
  <si>
    <t>CG-2666</t>
  </si>
  <si>
    <t>PROD-128</t>
  </si>
  <si>
    <t>CA-2023-10543</t>
  </si>
  <si>
    <t>CG-2758</t>
  </si>
  <si>
    <t>CA-2023-10530</t>
  </si>
  <si>
    <t>CG-4483</t>
  </si>
  <si>
    <t>PROD-343</t>
  </si>
  <si>
    <t>CA-2023-10598</t>
  </si>
  <si>
    <t>CG-6563</t>
  </si>
  <si>
    <t>Tables Product 4</t>
  </si>
  <si>
    <t>CA-2023-10551</t>
  </si>
  <si>
    <t>CG-1613</t>
  </si>
  <si>
    <t>PROD-770</t>
  </si>
  <si>
    <t>CA-2023-10330</t>
  </si>
  <si>
    <t>CG-6636</t>
  </si>
  <si>
    <t>PROD-268</t>
  </si>
  <si>
    <t>CA-2023-10297</t>
  </si>
  <si>
    <t>CG-8037</t>
  </si>
  <si>
    <t>PROD-265</t>
  </si>
  <si>
    <t>Machines Product 29</t>
  </si>
  <si>
    <t>CA-2023-10328</t>
  </si>
  <si>
    <t>PROD-378</t>
  </si>
  <si>
    <t>CA-2023-10129</t>
  </si>
  <si>
    <t>CG-3539</t>
  </si>
  <si>
    <t>PROD-412</t>
  </si>
  <si>
    <t>Furnishings Product 5</t>
  </si>
  <si>
    <t>CA-2023-10278</t>
  </si>
  <si>
    <t>CG-2184</t>
  </si>
  <si>
    <t>CA-2023-10581</t>
  </si>
  <si>
    <t>CG-4442</t>
  </si>
  <si>
    <t>PROD-389</t>
  </si>
  <si>
    <t>Copiers Product 16</t>
  </si>
  <si>
    <t>CA-2023-10312</t>
  </si>
  <si>
    <t>CG-2203</t>
  </si>
  <si>
    <t>Customer 6</t>
  </si>
  <si>
    <t>PROD-109</t>
  </si>
  <si>
    <t>CA-2023-10508</t>
  </si>
  <si>
    <t>CG-1234</t>
  </si>
  <si>
    <t>PROD-969</t>
  </si>
  <si>
    <t>Storage Product 1</t>
  </si>
  <si>
    <t>CA-2023-10456</t>
  </si>
  <si>
    <t>CG-8377</t>
  </si>
  <si>
    <t>PROD-852</t>
  </si>
  <si>
    <t>CA-2023-10039</t>
  </si>
  <si>
    <t>CG-7493</t>
  </si>
  <si>
    <t>Chairs Product 29</t>
  </si>
  <si>
    <t>CA-2023-10182</t>
  </si>
  <si>
    <t>CG-4162</t>
  </si>
  <si>
    <t>Labels Product 1</t>
  </si>
  <si>
    <t>CA-2023-10423</t>
  </si>
  <si>
    <t>CG-1665</t>
  </si>
  <si>
    <t>PROD-327</t>
  </si>
  <si>
    <t>Tables Product 17</t>
  </si>
  <si>
    <t>CA-2023-10252</t>
  </si>
  <si>
    <t>CG-1725</t>
  </si>
  <si>
    <t>Customer 35</t>
  </si>
  <si>
    <t>PROD-292</t>
  </si>
  <si>
    <t>Storage Product 20</t>
  </si>
  <si>
    <t>CA-2023-10235</t>
  </si>
  <si>
    <t>CG-8069</t>
  </si>
  <si>
    <t>PROD-748</t>
  </si>
  <si>
    <t>Phones Product 22</t>
  </si>
  <si>
    <t>CA-2023-10315</t>
  </si>
  <si>
    <t>CG-2738</t>
  </si>
  <si>
    <t>PROD-794</t>
  </si>
  <si>
    <t>Copiers Product 29</t>
  </si>
  <si>
    <t>CA-2023-10399</t>
  </si>
  <si>
    <t>CG-8450</t>
  </si>
  <si>
    <t>CA-2023-10237</t>
  </si>
  <si>
    <t>CG-5322</t>
  </si>
  <si>
    <t>Tables Product 21</t>
  </si>
  <si>
    <t>CA-2023-10090</t>
  </si>
  <si>
    <t>CG-5585</t>
  </si>
  <si>
    <t>PROD-315</t>
  </si>
  <si>
    <t>CA-2023-10438</t>
  </si>
  <si>
    <t>CG-7853</t>
  </si>
  <si>
    <t>PROD-119</t>
  </si>
  <si>
    <t>Tables Product 16</t>
  </si>
  <si>
    <t>CA-2023-10467</t>
  </si>
  <si>
    <t>CG-9831</t>
  </si>
  <si>
    <t>PROD-541</t>
  </si>
  <si>
    <t>CA-2023-10466</t>
  </si>
  <si>
    <t>CG-5490</t>
  </si>
  <si>
    <t>PROD-673</t>
  </si>
  <si>
    <t>CA-2023-10589</t>
  </si>
  <si>
    <t>CG-7579</t>
  </si>
  <si>
    <t>PROD-685</t>
  </si>
  <si>
    <t>CA-2023-10066</t>
  </si>
  <si>
    <t>CG-4223</t>
  </si>
  <si>
    <t>PROD-197</t>
  </si>
  <si>
    <t>Accessories Product 3</t>
  </si>
  <si>
    <t>CA-2023-10484</t>
  </si>
  <si>
    <t>CG-1992</t>
  </si>
  <si>
    <t>CA-2023-10385</t>
  </si>
  <si>
    <t>CG-4998</t>
  </si>
  <si>
    <t>PROD-214</t>
  </si>
  <si>
    <t>Copiers Product 28</t>
  </si>
  <si>
    <t>CA-2023-10437</t>
  </si>
  <si>
    <t>CG-9974</t>
  </si>
  <si>
    <t>PROD-634</t>
  </si>
  <si>
    <t>Chairs Product 16</t>
  </si>
  <si>
    <t>CA-2023-10473</t>
  </si>
  <si>
    <t>CG-9080</t>
  </si>
  <si>
    <t>Furnishings Product 2</t>
  </si>
  <si>
    <t>CA-2023-10137</t>
  </si>
  <si>
    <t>CG-4348</t>
  </si>
  <si>
    <t>PROD-406</t>
  </si>
  <si>
    <t>CA-2023-10472</t>
  </si>
  <si>
    <t>CG-1879</t>
  </si>
  <si>
    <t>PROD-648</t>
  </si>
  <si>
    <t>CA-2023-10270</t>
  </si>
  <si>
    <t>CG-1298</t>
  </si>
  <si>
    <t>PROD-539</t>
  </si>
  <si>
    <t>Furnishings Product 19</t>
  </si>
  <si>
    <t>CA-2023-10031</t>
  </si>
  <si>
    <t>CG-1539</t>
  </si>
  <si>
    <t>Customer 101</t>
  </si>
  <si>
    <t>Furnishings Product 27</t>
  </si>
  <si>
    <t>CA-2023-10583</t>
  </si>
  <si>
    <t>CG-4881</t>
  </si>
  <si>
    <t>CA-2023-10141</t>
  </si>
  <si>
    <t>CG-2531</t>
  </si>
  <si>
    <t>PROD-497</t>
  </si>
  <si>
    <t>CA-2023-10557</t>
  </si>
  <si>
    <t>CG-5646</t>
  </si>
  <si>
    <t>PROD-399</t>
  </si>
  <si>
    <t>CA-2023-10136</t>
  </si>
  <si>
    <t>CG-7788</t>
  </si>
  <si>
    <t>PROD-585</t>
  </si>
  <si>
    <t>CA-2023-10104</t>
  </si>
  <si>
    <t>CG-8121</t>
  </si>
  <si>
    <t>PROD-559</t>
  </si>
  <si>
    <t>Furnishings Product 6</t>
  </si>
  <si>
    <t>CA-2023-10265</t>
  </si>
  <si>
    <t>CG-9386</t>
  </si>
  <si>
    <t>PROD-499</t>
  </si>
  <si>
    <t>CA-2023-10511</t>
  </si>
  <si>
    <t>CG-6724</t>
  </si>
  <si>
    <t>PROD-609</t>
  </si>
  <si>
    <t>CA-2023-10533</t>
  </si>
  <si>
    <t>CG-1661</t>
  </si>
  <si>
    <t>PROD-886</t>
  </si>
  <si>
    <t>Art Product 16</t>
  </si>
  <si>
    <t>CA-2023-10246</t>
  </si>
  <si>
    <t>CG-1071</t>
  </si>
  <si>
    <t>PROD-608</t>
  </si>
  <si>
    <t>Binders Product 27</t>
  </si>
  <si>
    <t>CA-2023-10464</t>
  </si>
  <si>
    <t>CG-8939</t>
  </si>
  <si>
    <t>PROD-603</t>
  </si>
  <si>
    <t>CA-2023-10255</t>
  </si>
  <si>
    <t>CG-9430</t>
  </si>
  <si>
    <t>PROD-799</t>
  </si>
  <si>
    <t>Furnishings Product 13</t>
  </si>
  <si>
    <t>CA-2023-10085</t>
  </si>
  <si>
    <t>CG-7078</t>
  </si>
  <si>
    <t>Storage Product 30</t>
  </si>
  <si>
    <t>CA-2023-10118</t>
  </si>
  <si>
    <t>CG-1301</t>
  </si>
  <si>
    <t>PROD-746</t>
  </si>
  <si>
    <t>CA-2023-10569</t>
  </si>
  <si>
    <t>CG-3063</t>
  </si>
  <si>
    <t>PROD-475</t>
  </si>
  <si>
    <t>CA-2023-10218</t>
  </si>
  <si>
    <t>CG-6669</t>
  </si>
  <si>
    <t>Customer 27</t>
  </si>
  <si>
    <t>PROD-398</t>
  </si>
  <si>
    <t>CA-2023-10071</t>
  </si>
  <si>
    <t>CG-8490</t>
  </si>
  <si>
    <t>PROD-294</t>
  </si>
  <si>
    <t>CA-2023-10199</t>
  </si>
  <si>
    <t>CG-3424</t>
  </si>
  <si>
    <t>CA-2023-10307</t>
  </si>
  <si>
    <t>CG-4605</t>
  </si>
  <si>
    <t>PROD-598</t>
  </si>
  <si>
    <t>Accessories Product 9</t>
  </si>
  <si>
    <t>CA-2023-10143</t>
  </si>
  <si>
    <t>CG-8156</t>
  </si>
  <si>
    <t>PROD-134</t>
  </si>
  <si>
    <t>Accessories Product 17</t>
  </si>
  <si>
    <t>CA-2023-10544</t>
  </si>
  <si>
    <t>CG-1540</t>
  </si>
  <si>
    <t>Customer 45</t>
  </si>
  <si>
    <t>Storage Product 24</t>
  </si>
  <si>
    <t>CA-2023-10389</t>
  </si>
  <si>
    <t>CG-5155</t>
  </si>
  <si>
    <t>CA-2023-10378</t>
  </si>
  <si>
    <t>CG-6191</t>
  </si>
  <si>
    <t>Customer 133</t>
  </si>
  <si>
    <t>PROD-984</t>
  </si>
  <si>
    <t>CA-2023-10450</t>
  </si>
  <si>
    <t>PROD-182</t>
  </si>
  <si>
    <t>CA-2023-10556</t>
  </si>
  <si>
    <t>CG-2334</t>
  </si>
  <si>
    <t>CA-2023-10269</t>
  </si>
  <si>
    <t>CG-1242</t>
  </si>
  <si>
    <t>Storage Product 11</t>
  </si>
  <si>
    <t>CA-2023-10462</t>
  </si>
  <si>
    <t>CA-2023-10134</t>
  </si>
  <si>
    <t>CG-4525</t>
  </si>
  <si>
    <t>PROD-874</t>
  </si>
  <si>
    <t>CA-2023-10008</t>
  </si>
  <si>
    <t>CG-2291</t>
  </si>
  <si>
    <t>Binders Product 5</t>
  </si>
  <si>
    <t>CA-2023-10405</t>
  </si>
  <si>
    <t>CG-7400</t>
  </si>
  <si>
    <t>PROD-651</t>
  </si>
  <si>
    <t>CA-2023-10114</t>
  </si>
  <si>
    <t>CG-4271</t>
  </si>
  <si>
    <t>PROD-484</t>
  </si>
  <si>
    <t>CA-2023-10445</t>
  </si>
  <si>
    <t>CG-4587</t>
  </si>
  <si>
    <t>PROD-915</t>
  </si>
  <si>
    <t>CA-2023-10433</t>
  </si>
  <si>
    <t>CG-5287</t>
  </si>
  <si>
    <t>CA-2023-10035</t>
  </si>
  <si>
    <t>CG-2077</t>
  </si>
  <si>
    <t>CA-2023-10538</t>
  </si>
  <si>
    <t>CG-2950</t>
  </si>
  <si>
    <t>Paper Product 28</t>
  </si>
  <si>
    <t>CA-2023-10099</t>
  </si>
  <si>
    <t>CG-7807</t>
  </si>
  <si>
    <t>PROD-159</t>
  </si>
  <si>
    <t>CA-2023-10425</t>
  </si>
  <si>
    <t>CG-3855</t>
  </si>
  <si>
    <t>PROD-954</t>
  </si>
  <si>
    <t>CA-2023-10320</t>
  </si>
  <si>
    <t>CG-7447</t>
  </si>
  <si>
    <t>CA-2024-10592</t>
  </si>
  <si>
    <t>CG-1881</t>
  </si>
  <si>
    <t>Customer 13</t>
  </si>
  <si>
    <t>CA-2024-10268</t>
  </si>
  <si>
    <t>CG-4966</t>
  </si>
  <si>
    <t>PROD-210</t>
  </si>
  <si>
    <t>Art Product 1</t>
  </si>
  <si>
    <t>CA-2024-10245</t>
  </si>
  <si>
    <t>CG-4904</t>
  </si>
  <si>
    <t>Tables Product 22</t>
  </si>
  <si>
    <t>CA-2024-10080</t>
  </si>
  <si>
    <t>CG-9586</t>
  </si>
  <si>
    <t>CA-2024-10216</t>
  </si>
  <si>
    <t>CG-8957</t>
  </si>
  <si>
    <t>PROD-536</t>
  </si>
  <si>
    <t>Storage Product 15</t>
  </si>
  <si>
    <t>CA-2024-10358</t>
  </si>
  <si>
    <t>CG-3419</t>
  </si>
  <si>
    <t>CA-2024-10105</t>
  </si>
  <si>
    <t>CG-2689</t>
  </si>
  <si>
    <t>PROD-505</t>
  </si>
  <si>
    <t>Paper Product 11</t>
  </si>
  <si>
    <t>CA-2024-10072</t>
  </si>
  <si>
    <t>CG-9228</t>
  </si>
  <si>
    <t>PROD-895</t>
  </si>
  <si>
    <t>CA-2024-10494</t>
  </si>
  <si>
    <t>CG-6266</t>
  </si>
  <si>
    <t>Accessories Product 19</t>
  </si>
  <si>
    <t>CA-2024-10113</t>
  </si>
  <si>
    <t>CG-9433</t>
  </si>
  <si>
    <t>PROD-331</t>
  </si>
  <si>
    <t>Envelopes Product 21</t>
  </si>
  <si>
    <t>CA-2024-10295</t>
  </si>
  <si>
    <t>CG-8099</t>
  </si>
  <si>
    <t>CA-2024-10271</t>
  </si>
  <si>
    <t>CG-9105</t>
  </si>
  <si>
    <t>CA-2024-10527</t>
  </si>
  <si>
    <t>CG-3000</t>
  </si>
  <si>
    <t>PROD-316</t>
  </si>
  <si>
    <t>CA-2024-10338</t>
  </si>
  <si>
    <t>CG-8060</t>
  </si>
  <si>
    <t>PROD-136</t>
  </si>
  <si>
    <t>CA-2024-10390</t>
  </si>
  <si>
    <t>CG-7732</t>
  </si>
  <si>
    <t>PROD-587</t>
  </si>
  <si>
    <t>CA-2024-10492</t>
  </si>
  <si>
    <t>CG-8678</t>
  </si>
  <si>
    <t>PROD-180</t>
  </si>
  <si>
    <t>Machines Product 30</t>
  </si>
  <si>
    <t>CA-2024-10507</t>
  </si>
  <si>
    <t>CG-4030</t>
  </si>
  <si>
    <t>PROD-804</t>
  </si>
  <si>
    <t>CA-2024-10306</t>
  </si>
  <si>
    <t>CG-3521</t>
  </si>
  <si>
    <t>Copiers Product 10</t>
  </si>
  <si>
    <t>CA-2024-10125</t>
  </si>
  <si>
    <t>CG-9266</t>
  </si>
  <si>
    <t>PROD-701</t>
  </si>
  <si>
    <t>CA-2024-10110</t>
  </si>
  <si>
    <t>CG-8870</t>
  </si>
  <si>
    <t>CA-2024-10302</t>
  </si>
  <si>
    <t>CG-8951</t>
  </si>
  <si>
    <t>PROD-227</t>
  </si>
  <si>
    <t>CA-2024-10475</t>
  </si>
  <si>
    <t>CG-4888</t>
  </si>
  <si>
    <t>PROD-948</t>
  </si>
  <si>
    <t>CA-2024-10334</t>
  </si>
  <si>
    <t>CG-8448</t>
  </si>
  <si>
    <t>Customer 98</t>
  </si>
  <si>
    <t>CA-2024-10117</t>
  </si>
  <si>
    <t>CG-8128</t>
  </si>
  <si>
    <t>PROD-513</t>
  </si>
  <si>
    <t>CA-2024-10160</t>
  </si>
  <si>
    <t>CG-5117</t>
  </si>
  <si>
    <t>PROD-782</t>
  </si>
  <si>
    <t>CA-2024-10103</t>
  </si>
  <si>
    <t>CG-4374</t>
  </si>
  <si>
    <t>PROD-717</t>
  </si>
  <si>
    <t>Art Product 30</t>
  </si>
  <si>
    <t>CA-2024-10408</t>
  </si>
  <si>
    <t>CG-2469</t>
  </si>
  <si>
    <t>PROD-650</t>
  </si>
  <si>
    <t>Binders Product 21</t>
  </si>
  <si>
    <t>CA-2024-10052</t>
  </si>
  <si>
    <t>CG-8112</t>
  </si>
  <si>
    <t>PROD-535</t>
  </si>
  <si>
    <t>Tables Product 25</t>
  </si>
  <si>
    <t>CA-2024-10005</t>
  </si>
  <si>
    <t>CG-5488</t>
  </si>
  <si>
    <t>PROD-653</t>
  </si>
  <si>
    <t>CA-2024-10074</t>
  </si>
  <si>
    <t>CG-9780</t>
  </si>
  <si>
    <t>PROD-323</t>
  </si>
  <si>
    <t>CA-2024-10274</t>
  </si>
  <si>
    <t>CG-7719</t>
  </si>
  <si>
    <t>Storage Product 10</t>
  </si>
  <si>
    <t>CA-2024-10406</t>
  </si>
  <si>
    <t>CG-6127</t>
  </si>
  <si>
    <t>PROD-774</t>
  </si>
  <si>
    <t>CA-2024-10248</t>
  </si>
  <si>
    <t>CG-9095</t>
  </si>
  <si>
    <t>CA-2024-10020</t>
  </si>
  <si>
    <t>CG-1580</t>
  </si>
  <si>
    <t>PROD-175</t>
  </si>
  <si>
    <t>CA-2024-10062</t>
  </si>
  <si>
    <t>CG-6408</t>
  </si>
  <si>
    <t>PROD-247</t>
  </si>
  <si>
    <t>CA-2024-10502</t>
  </si>
  <si>
    <t>CG-3015</t>
  </si>
  <si>
    <t>PROD-837</t>
  </si>
  <si>
    <t>Chairs Product 7</t>
  </si>
  <si>
    <t>CA-2024-10434</t>
  </si>
  <si>
    <t>CG-4247</t>
  </si>
  <si>
    <t>PROD-736</t>
  </si>
  <si>
    <t>CA-2024-10219</t>
  </si>
  <si>
    <t>CG-7644</t>
  </si>
  <si>
    <t>PROD-514</t>
  </si>
  <si>
    <t>Phones Product 14</t>
  </si>
  <si>
    <t>CA-2024-10093</t>
  </si>
  <si>
    <t>CG-7924</t>
  </si>
  <si>
    <t>PROD-588</t>
  </si>
  <si>
    <t>Labels Product 11</t>
  </si>
  <si>
    <t>CA-2024-10022</t>
  </si>
  <si>
    <t>CG-1851</t>
  </si>
  <si>
    <t>CA-2024-10197</t>
  </si>
  <si>
    <t>CG-2813</t>
  </si>
  <si>
    <t>Customer 100</t>
  </si>
  <si>
    <t>PROD-124</t>
  </si>
  <si>
    <t>Tables Product 13</t>
  </si>
  <si>
    <t>CA-2024-10257</t>
  </si>
  <si>
    <t>CG-6555</t>
  </si>
  <si>
    <t>CA-2024-10067</t>
  </si>
  <si>
    <t>CG-9502</t>
  </si>
  <si>
    <t>PROD-880</t>
  </si>
  <si>
    <t>CA-2024-10224</t>
  </si>
  <si>
    <t>CG-7582</t>
  </si>
  <si>
    <t>CA-2024-10041</t>
  </si>
  <si>
    <t>CG-9258</t>
  </si>
  <si>
    <t>CA-2024-10552</t>
  </si>
  <si>
    <t>CG-9085</t>
  </si>
  <si>
    <t>Chairs Product 25</t>
  </si>
  <si>
    <t>CA-2024-10285</t>
  </si>
  <si>
    <t>CG-5658</t>
  </si>
  <si>
    <t>CA-2024-10398</t>
  </si>
  <si>
    <t>CG-8262</t>
  </si>
  <si>
    <t>PROD-166</t>
  </si>
  <si>
    <t>CA-2024-10167</t>
  </si>
  <si>
    <t>CG-3224</t>
  </si>
  <si>
    <t>PROD-790</t>
  </si>
  <si>
    <t>Chairs Product 5</t>
  </si>
  <si>
    <t>CA-2024-10496</t>
  </si>
  <si>
    <t>CG-2573</t>
  </si>
  <si>
    <t>PROD-686</t>
  </si>
  <si>
    <t>Machines Product 17</t>
  </si>
  <si>
    <t>CA-2024-10030</t>
  </si>
  <si>
    <t>CG-7190</t>
  </si>
  <si>
    <t>PROD-242</t>
  </si>
  <si>
    <t>Copiers Product 1</t>
  </si>
  <si>
    <t>CA-2024-10304</t>
  </si>
  <si>
    <t>CG-2706</t>
  </si>
  <si>
    <t>PROD-383</t>
  </si>
  <si>
    <t>CA-2024-10154</t>
  </si>
  <si>
    <t>CG-3309</t>
  </si>
  <si>
    <t>PROD-584</t>
  </si>
  <si>
    <t>Chairs Product 26</t>
  </si>
  <si>
    <t>CA-2024-10329</t>
  </si>
  <si>
    <t>CG-4326</t>
  </si>
  <si>
    <t>Furnishings Product 28</t>
  </si>
  <si>
    <t>CA-2024-10153</t>
  </si>
  <si>
    <t>PROD-787</t>
  </si>
  <si>
    <t>Paper Product 20</t>
  </si>
  <si>
    <t>CA-2024-10435</t>
  </si>
  <si>
    <t>CG-4262</t>
  </si>
  <si>
    <t>PROD-992</t>
  </si>
  <si>
    <t>CA-2024-10018</t>
  </si>
  <si>
    <t>CG-3491</t>
  </si>
  <si>
    <t>PROD-152</t>
  </si>
  <si>
    <t>CA-2024-10290</t>
  </si>
  <si>
    <t>CG-3476</t>
  </si>
  <si>
    <t>PROD-444</t>
  </si>
  <si>
    <t>CA-2024-10126</t>
  </si>
  <si>
    <t>CG-6017</t>
  </si>
  <si>
    <t>PROD-931</t>
  </si>
  <si>
    <t>Machines Product 5</t>
  </si>
  <si>
    <t>CA-2024-10532</t>
  </si>
  <si>
    <t>CG-9953</t>
  </si>
  <si>
    <t>CA-2024-10415</t>
  </si>
  <si>
    <t>CG-5134</t>
  </si>
  <si>
    <t>PROD-261</t>
  </si>
  <si>
    <t>CA-2024-10366</t>
  </si>
  <si>
    <t>CG-9014</t>
  </si>
  <si>
    <t>Copiers Product 5</t>
  </si>
  <si>
    <t>CA-2024-10194</t>
  </si>
  <si>
    <t>CG-4765</t>
  </si>
  <si>
    <t>PROD-314</t>
  </si>
  <si>
    <t>Accessories Product 14</t>
  </si>
  <si>
    <t>CA-2024-10595</t>
  </si>
  <si>
    <t>CG-8422</t>
  </si>
  <si>
    <t>PROD-273</t>
  </si>
  <si>
    <t>Copiers Product 18</t>
  </si>
  <si>
    <t>CA-2024-10596</t>
  </si>
  <si>
    <t>CG-9287</t>
  </si>
  <si>
    <t>PROD-421</t>
  </si>
  <si>
    <t>CA-2024-10230</t>
  </si>
  <si>
    <t>CG-5143</t>
  </si>
  <si>
    <t>PROD-538</t>
  </si>
  <si>
    <t>CA-2024-10149</t>
  </si>
  <si>
    <t>CG-6889</t>
  </si>
  <si>
    <t>PROD-301</t>
  </si>
  <si>
    <t>CA-2024-10324</t>
  </si>
  <si>
    <t>CG-2674</t>
  </si>
  <si>
    <t>PROD-621</t>
  </si>
  <si>
    <t>CA-2024-10059</t>
  </si>
  <si>
    <t>CG-8368</t>
  </si>
  <si>
    <t>CA-2024-10347</t>
  </si>
  <si>
    <t>CG-7654</t>
  </si>
  <si>
    <t>PROD-299</t>
  </si>
  <si>
    <t>CA-2024-10514</t>
  </si>
  <si>
    <t>CG-8255</t>
  </si>
  <si>
    <t>PROD-741</t>
  </si>
  <si>
    <t>Accessories Product 25</t>
  </si>
  <si>
    <t>CA-2024-10100</t>
  </si>
  <si>
    <t>CG-1987</t>
  </si>
  <si>
    <t>PROD-689</t>
  </si>
  <si>
    <t>CA-2024-10250</t>
  </si>
  <si>
    <t>CG-8119</t>
  </si>
  <si>
    <t>PROD-329</t>
  </si>
  <si>
    <t>Storage Product 18</t>
  </si>
  <si>
    <t>CA-2024-10427</t>
  </si>
  <si>
    <t>CG-4057</t>
  </si>
  <si>
    <t>PROD-750</t>
  </si>
  <si>
    <t>CA-2024-10336</t>
  </si>
  <si>
    <t>CG-4815</t>
  </si>
  <si>
    <t>PROD-338</t>
  </si>
  <si>
    <t>Machines Product 15</t>
  </si>
  <si>
    <t>CA-2024-10461</t>
  </si>
  <si>
    <t>CG-6392</t>
  </si>
  <si>
    <t>PROD-672</t>
  </si>
  <si>
    <t>CA-2024-10000</t>
  </si>
  <si>
    <t>CG-7949</t>
  </si>
  <si>
    <t>PROD-376</t>
  </si>
  <si>
    <t>Paper Product 1</t>
  </si>
  <si>
    <t>CA-2024-10191</t>
  </si>
  <si>
    <t>CG-4922</t>
  </si>
  <si>
    <t>PROD-267</t>
  </si>
  <si>
    <t>CA-2024-10006</t>
  </si>
  <si>
    <t>CG-4157</t>
  </si>
  <si>
    <t>PROD-781</t>
  </si>
  <si>
    <t>CA-2024-10011</t>
  </si>
  <si>
    <t>CG-7287</t>
  </si>
  <si>
    <t>PROD-671</t>
  </si>
  <si>
    <t>Paper Product 17</t>
  </si>
  <si>
    <t>CA-2024-10578</t>
  </si>
  <si>
    <t>CG-8229</t>
  </si>
  <si>
    <t>PROD-864</t>
  </si>
  <si>
    <t>CA-2024-10064</t>
  </si>
  <si>
    <t>CG-3708</t>
  </si>
  <si>
    <t>Bookcases Product 22</t>
  </si>
  <si>
    <t>CA-2024-10403</t>
  </si>
  <si>
    <t>CG-4110</t>
  </si>
  <si>
    <t>CA-2024-10503</t>
  </si>
  <si>
    <t>CG-7884</t>
  </si>
  <si>
    <t>CA-2024-10121</t>
  </si>
  <si>
    <t>CG-4083</t>
  </si>
  <si>
    <t>PROD-517</t>
  </si>
  <si>
    <t>CA-2024-10550</t>
  </si>
  <si>
    <t>CG-7900</t>
  </si>
  <si>
    <t>CA-2024-10559</t>
  </si>
  <si>
    <t>CG-1818</t>
  </si>
  <si>
    <t>PROD-855</t>
  </si>
  <si>
    <t>CA-2024-10033</t>
  </si>
  <si>
    <t>CG-5000</t>
  </si>
  <si>
    <t>PROD-198</t>
  </si>
  <si>
    <t>CA-2024-10525</t>
  </si>
  <si>
    <t>CG-6765</t>
  </si>
  <si>
    <t>PROD-662</t>
  </si>
  <si>
    <t>Tables Product 11</t>
  </si>
  <si>
    <t>CA-2024-10413</t>
  </si>
  <si>
    <t>CG-6008</t>
  </si>
  <si>
    <t>CA-2024-10251</t>
  </si>
  <si>
    <t>CG-3053</t>
  </si>
  <si>
    <t>PROD-882</t>
  </si>
  <si>
    <t>Paper Product 8</t>
  </si>
  <si>
    <t>CA-2024-10159</t>
  </si>
  <si>
    <t>CG-3808</t>
  </si>
  <si>
    <t>PROD-786</t>
  </si>
  <si>
    <t>CA-2024-10078</t>
  </si>
  <si>
    <t>CG-2980</t>
  </si>
  <si>
    <t>PROD-892</t>
  </si>
  <si>
    <t>CA-2024-10498</t>
  </si>
  <si>
    <t>CG-6137</t>
  </si>
  <si>
    <t>PROD-626</t>
  </si>
  <si>
    <t>CA-2024-10070</t>
  </si>
  <si>
    <t>CG-2913</t>
  </si>
  <si>
    <t>PROD-589</t>
  </si>
  <si>
    <t>CA-2024-10373</t>
  </si>
  <si>
    <t>CG-3161</t>
  </si>
  <si>
    <t>CA-2024-10281</t>
  </si>
  <si>
    <t>CG-5270</t>
  </si>
  <si>
    <t>PROD-696</t>
  </si>
  <si>
    <t>Bookcases Product 3</t>
  </si>
  <si>
    <t>CA-2024-10576</t>
  </si>
  <si>
    <t>CG-7764</t>
  </si>
  <si>
    <t>CA-2024-10489</t>
  </si>
  <si>
    <t>CG-7963</t>
  </si>
  <si>
    <t>PROD-687</t>
  </si>
  <si>
    <t>CA-2024-10504</t>
  </si>
  <si>
    <t>CG-1233</t>
  </si>
  <si>
    <t>Storage Product 8</t>
  </si>
  <si>
    <t>CA-2024-10211</t>
  </si>
  <si>
    <t>CG-5177</t>
  </si>
  <si>
    <t>PROD-656</t>
  </si>
  <si>
    <t>CA-2024-10524</t>
  </si>
  <si>
    <t>CG-5677</t>
  </si>
  <si>
    <t>PROD-280</t>
  </si>
  <si>
    <t>Storage Product 19</t>
  </si>
  <si>
    <t>CA-2024-10510</t>
  </si>
  <si>
    <t>CG-1493</t>
  </si>
  <si>
    <t>CA-2024-10397</t>
  </si>
  <si>
    <t>CG-2109</t>
  </si>
  <si>
    <t>PROD-471</t>
  </si>
  <si>
    <t>CA-2024-10227</t>
  </si>
  <si>
    <t>CG-1649</t>
  </si>
  <si>
    <t>PROD-519</t>
  </si>
  <si>
    <t>Bookcases Product 29</t>
  </si>
  <si>
    <t>CA-2024-10161</t>
  </si>
  <si>
    <t>Art Product 4</t>
  </si>
  <si>
    <t>CA-2024-10098</t>
  </si>
  <si>
    <t>CG-7284</t>
  </si>
  <si>
    <t>CA-2024-10163</t>
  </si>
  <si>
    <t>CG-7465</t>
  </si>
  <si>
    <t>CA-2024-10150</t>
  </si>
  <si>
    <t>CG-5008</t>
  </si>
  <si>
    <t>PROD-932</t>
  </si>
  <si>
    <t>CA-2024-10058</t>
  </si>
  <si>
    <t>CG-2279</t>
  </si>
  <si>
    <t>PROD-966</t>
  </si>
  <si>
    <t>Binders Product 20</t>
  </si>
  <si>
    <t>CA-2024-10076</t>
  </si>
  <si>
    <t>CG-5799</t>
  </si>
  <si>
    <t>Copiers Product 27</t>
  </si>
  <si>
    <t>CA-2024-10470</t>
  </si>
  <si>
    <t>CG-4775</t>
  </si>
  <si>
    <t>CA-2024-10549</t>
  </si>
  <si>
    <t>CG-9500</t>
  </si>
  <si>
    <t>CA-2024-10220</t>
  </si>
  <si>
    <t>CG-9210</t>
  </si>
  <si>
    <t>CA-2024-10517</t>
  </si>
  <si>
    <t>CG-2525</t>
  </si>
  <si>
    <t>PROD-668</t>
  </si>
  <si>
    <t>CA-2024-10209</t>
  </si>
  <si>
    <t>PROD-640</t>
  </si>
  <si>
    <t>CA-2024-10387</t>
  </si>
  <si>
    <t>CG-3017</t>
  </si>
  <si>
    <t>Chairs Product 22</t>
  </si>
  <si>
    <t>CA-2024-10016</t>
  </si>
  <si>
    <t>CG-2409</t>
  </si>
  <si>
    <t>CA-2024-10391</t>
  </si>
  <si>
    <t>CG-6519</t>
  </si>
  <si>
    <t>PROD-691</t>
  </si>
  <si>
    <t>CA-2024-10568</t>
  </si>
  <si>
    <t>CG-9348</t>
  </si>
  <si>
    <t>CA-2024-10142</t>
  </si>
  <si>
    <t>CG-1040</t>
  </si>
  <si>
    <t>Tables Product 2</t>
  </si>
  <si>
    <t>CA-2024-10082</t>
  </si>
  <si>
    <t>CG-2709</t>
  </si>
  <si>
    <t>CA-2024-10541</t>
  </si>
  <si>
    <t>CG-4838</t>
  </si>
  <si>
    <t>PROD-508</t>
  </si>
  <si>
    <t>CA-2024-10303</t>
  </si>
  <si>
    <t>CG-7852</t>
  </si>
  <si>
    <t>PROD-974</t>
  </si>
  <si>
    <t>Furnishings Product 4</t>
  </si>
  <si>
    <t>CA-2024-10572</t>
  </si>
  <si>
    <t>CG-6373</t>
  </si>
  <si>
    <t>PROD-619</t>
  </si>
  <si>
    <t>Binders Product 8</t>
  </si>
  <si>
    <t>CA-2024-10421</t>
  </si>
  <si>
    <t>CG-4777</t>
  </si>
  <si>
    <t>PROD-724</t>
  </si>
  <si>
    <t>CA-2024-10548</t>
  </si>
  <si>
    <t>CG-8971</t>
  </si>
  <si>
    <t>CA-2024-10056</t>
  </si>
  <si>
    <t>CG-6954</t>
  </si>
  <si>
    <t>PROD-860</t>
  </si>
  <si>
    <t>CA-2024-10077</t>
  </si>
  <si>
    <t>CG-1038</t>
  </si>
  <si>
    <t>PROD-896</t>
  </si>
  <si>
    <t>CA-2024-10579</t>
  </si>
  <si>
    <t>CG-1789</t>
  </si>
  <si>
    <t>PROD-364</t>
  </si>
  <si>
    <t>CA-2024-10333</t>
  </si>
  <si>
    <t>CG-1544</t>
  </si>
  <si>
    <t>PROD-204</t>
  </si>
  <si>
    <t>Phones Product 8</t>
  </si>
  <si>
    <t>CA-2024-10009</t>
  </si>
  <si>
    <t>CG-6535</t>
  </si>
  <si>
    <t>Copiers Product 24</t>
  </si>
  <si>
    <t>CA-2024-10448</t>
  </si>
  <si>
    <t>CG-1941</t>
  </si>
  <si>
    <t>PROD-834</t>
  </si>
  <si>
    <t>CA-2024-10023</t>
  </si>
  <si>
    <t>CG-9967</t>
  </si>
  <si>
    <t>CA-2024-10051</t>
  </si>
  <si>
    <t>CG-7024</t>
  </si>
  <si>
    <t>PROD-396</t>
  </si>
  <si>
    <t>CA-2024-10063</t>
  </si>
  <si>
    <t>CG-2252</t>
  </si>
  <si>
    <t>PROD-577</t>
  </si>
  <si>
    <t>CA-2024-10531</t>
  </si>
  <si>
    <t>CG-4705</t>
  </si>
  <si>
    <t>CA-2024-10097</t>
  </si>
  <si>
    <t>CG-5445</t>
  </si>
  <si>
    <t>Labels Product 7</t>
  </si>
  <si>
    <t>CA-2024-10266</t>
  </si>
  <si>
    <t>CG-9872</t>
  </si>
  <si>
    <t>Bookcases Product 2</t>
  </si>
  <si>
    <t>CA-2024-10299</t>
  </si>
  <si>
    <t>CG-7146</t>
  </si>
  <si>
    <t>PROD-215</t>
  </si>
  <si>
    <t>CA-2024-10590</t>
  </si>
  <si>
    <t>CG-7048</t>
  </si>
  <si>
    <t>PROD-454</t>
  </si>
  <si>
    <t>CA-2024-10439</t>
  </si>
  <si>
    <t>CG-1349</t>
  </si>
  <si>
    <t>PROD-815</t>
  </si>
  <si>
    <t>CA-2024-10073</t>
  </si>
  <si>
    <t>CG-3139</t>
  </si>
  <si>
    <t>CA-2024-10096</t>
  </si>
  <si>
    <t>CG-1140</t>
  </si>
  <si>
    <t>PROD-433</t>
  </si>
  <si>
    <t>CA-2024-10065</t>
  </si>
  <si>
    <t>CG-8124</t>
  </si>
  <si>
    <t>Copiers Product 15</t>
  </si>
  <si>
    <t>CA-2024-10460</t>
  </si>
  <si>
    <t>CG-6329</t>
  </si>
  <si>
    <t>PROD-172</t>
  </si>
  <si>
    <t>CA-2024-10449</t>
  </si>
  <si>
    <t>CG-2543</t>
  </si>
  <si>
    <t>CA-2024-10128</t>
  </si>
  <si>
    <t>CG-8896</t>
  </si>
  <si>
    <t>PROD-912</t>
  </si>
  <si>
    <t>CA-2024-10151</t>
  </si>
  <si>
    <t>CG-5020</t>
  </si>
  <si>
    <t>PROD-287</t>
  </si>
  <si>
    <t>CA-2024-10364</t>
  </si>
  <si>
    <t>CG-1066</t>
  </si>
  <si>
    <t>PROD-677</t>
  </si>
  <si>
    <t>CA-2024-10455</t>
  </si>
  <si>
    <t>CG-2019</t>
  </si>
  <si>
    <t>CA-2024-10260</t>
  </si>
  <si>
    <t>CG-1287</t>
  </si>
  <si>
    <t>PROD-983</t>
  </si>
  <si>
    <t>Accessories Product 10</t>
  </si>
  <si>
    <t>CA-2024-10055</t>
  </si>
  <si>
    <t>CG-7645</t>
  </si>
  <si>
    <t>PROD-321</t>
  </si>
  <si>
    <t>CA-2024-10116</t>
  </si>
  <si>
    <t>CG-9561</t>
  </si>
  <si>
    <t>CA-2024-10359</t>
  </si>
  <si>
    <t>CG-2986</t>
  </si>
  <si>
    <t>PROD-309</t>
  </si>
  <si>
    <t>Paper Product 30</t>
  </si>
  <si>
    <t>CA-2024-10021</t>
  </si>
  <si>
    <t>CG-8421</t>
  </si>
  <si>
    <t>CA-2024-10256</t>
  </si>
  <si>
    <t>CG-2827</t>
  </si>
  <si>
    <t>Customer 8</t>
  </si>
  <si>
    <t>Bookcases Product 16</t>
  </si>
  <si>
    <t>CA-2024-10133</t>
  </si>
  <si>
    <t>CG-7744</t>
  </si>
  <si>
    <t>CA-2024-10019</t>
  </si>
  <si>
    <t>CG-6177</t>
  </si>
  <si>
    <t>PROD-216</t>
  </si>
  <si>
    <t>Chairs Product 30</t>
  </si>
  <si>
    <t>CA-2024-10048</t>
  </si>
  <si>
    <t>CG-9669</t>
  </si>
  <si>
    <t>PROD-510</t>
  </si>
  <si>
    <t>CA-2024-10204</t>
  </si>
  <si>
    <t>PROD-160</t>
  </si>
  <si>
    <t>CA-2024-10025</t>
  </si>
  <si>
    <t>CG-1728</t>
  </si>
  <si>
    <t>PROD-118</t>
  </si>
  <si>
    <t>Copiers Product 17</t>
  </si>
  <si>
    <t>CA-2024-10332</t>
  </si>
  <si>
    <t>CG-5452</t>
  </si>
  <si>
    <t>Bookcases Product 12</t>
  </si>
  <si>
    <t>CA-2024-10275</t>
  </si>
  <si>
    <t>CG-9693</t>
  </si>
  <si>
    <t>CA-2024-10459</t>
  </si>
  <si>
    <t>CG-4960</t>
  </si>
  <si>
    <t>CA-2024-10007</t>
  </si>
  <si>
    <t>CG-7776</t>
  </si>
  <si>
    <t>PROD-358</t>
  </si>
  <si>
    <t>Furnishings Product 7</t>
  </si>
  <si>
    <t>CA-2024-10131</t>
  </si>
  <si>
    <t>CG-2537</t>
  </si>
  <si>
    <t>PROD-941</t>
  </si>
  <si>
    <t>CA-2024-10179</t>
  </si>
  <si>
    <t>CG-2296</t>
  </si>
  <si>
    <t>CA-2024-10560</t>
  </si>
  <si>
    <t>CG-1802</t>
  </si>
  <si>
    <t>PROD-865</t>
  </si>
  <si>
    <t>CA-2024-10392</t>
  </si>
  <si>
    <t>CG-5532</t>
  </si>
  <si>
    <t>CA-2024-10196</t>
  </si>
  <si>
    <t>CG-4554</t>
  </si>
  <si>
    <t>CA-2024-10037</t>
  </si>
  <si>
    <t>CG-6569</t>
  </si>
  <si>
    <t>PROD-142</t>
  </si>
  <si>
    <t>Phones Product 16</t>
  </si>
  <si>
    <t>CA-2024-10236</t>
  </si>
  <si>
    <t>CG-4303</t>
  </si>
  <si>
    <t>Binders Product 11</t>
  </si>
  <si>
    <t>CA-2024-10003</t>
  </si>
  <si>
    <t>CG-8869</t>
  </si>
  <si>
    <t>PROD-819</t>
  </si>
  <si>
    <t>CA-2024-10563</t>
  </si>
  <si>
    <t>CG-2415</t>
  </si>
  <si>
    <t>CA-2024-10402</t>
  </si>
  <si>
    <t>CG-7035</t>
  </si>
  <si>
    <t>PROD-479</t>
  </si>
  <si>
    <t>Machines Product 11</t>
  </si>
  <si>
    <t>CA-2024-10166</t>
  </si>
  <si>
    <t>CG-4167</t>
  </si>
  <si>
    <t>PROD-442</t>
  </si>
  <si>
    <t>CA-2024-10170</t>
  </si>
  <si>
    <t>CG-9353</t>
  </si>
  <si>
    <t>Paper Product 7</t>
  </si>
  <si>
    <t>CA-2024-10228</t>
  </si>
  <si>
    <t>CG-2289</t>
  </si>
  <si>
    <t>CA-2024-10545</t>
  </si>
  <si>
    <t>CG-9448</t>
  </si>
  <si>
    <t>Machines Product 1</t>
  </si>
  <si>
    <t>CA-2024-10122</t>
  </si>
  <si>
    <t>CG-2828</t>
  </si>
  <si>
    <t>PROD-970</t>
  </si>
  <si>
    <t>CA-2024-10165</t>
  </si>
  <si>
    <t>CG-3307</t>
  </si>
  <si>
    <t>CA-2024-10588</t>
  </si>
  <si>
    <t>Art Product 24</t>
  </si>
  <si>
    <t>CA-2024-10280</t>
  </si>
  <si>
    <t>CG-6673</t>
  </si>
  <si>
    <t>Envelopes Product 27</t>
  </si>
  <si>
    <t>CA-2024-10361</t>
  </si>
  <si>
    <t>CG-9186</t>
  </si>
  <si>
    <t>CA-2024-10580</t>
  </si>
  <si>
    <t>CG-9031</t>
  </si>
  <si>
    <t>CA-2024-10586</t>
  </si>
  <si>
    <t>CG-7000</t>
  </si>
  <si>
    <t>PROD-452</t>
  </si>
  <si>
    <t>Paper Product 4</t>
  </si>
  <si>
    <t>CA-2024-10368</t>
  </si>
  <si>
    <t>CG-6795</t>
  </si>
  <si>
    <t>CA-2024-10501</t>
  </si>
  <si>
    <t>CG-3892</t>
  </si>
  <si>
    <t>PROD-968</t>
  </si>
  <si>
    <t>CA-2024-10565</t>
  </si>
  <si>
    <t>CG-2446</t>
  </si>
  <si>
    <t>CA-2024-10486</t>
  </si>
  <si>
    <t>CG-4773</t>
  </si>
  <si>
    <t>PROD-959</t>
  </si>
  <si>
    <t>CA-2024-10027</t>
  </si>
  <si>
    <t>CG-8056</t>
  </si>
  <si>
    <t>Accessories Product 8</t>
  </si>
  <si>
    <t>CA-2024-10068</t>
  </si>
  <si>
    <t>CG-2165</t>
  </si>
  <si>
    <t>CA-2024-10277</t>
  </si>
  <si>
    <t>CG-3646</t>
  </si>
  <si>
    <t>CA-2024-10075</t>
  </si>
  <si>
    <t>CG-2435</t>
  </si>
  <si>
    <t>CA-2024-10221</t>
  </si>
  <si>
    <t>CG-4539</t>
  </si>
  <si>
    <t>PROD-387</t>
  </si>
  <si>
    <t>CA-2024-10318</t>
  </si>
  <si>
    <t>CG-3511</t>
  </si>
  <si>
    <t>CA-2024-10452</t>
  </si>
  <si>
    <t>CG-9593</t>
  </si>
  <si>
    <t>PROD-674</t>
  </si>
  <si>
    <t>CA-2024-10458</t>
  </si>
  <si>
    <t>CG-3720</t>
  </si>
  <si>
    <t>CA-2024-10429</t>
  </si>
  <si>
    <t>CG-5864</t>
  </si>
  <si>
    <t>CA-2024-10183</t>
  </si>
  <si>
    <t>CG-8423</t>
  </si>
  <si>
    <t>PROD-760</t>
  </si>
  <si>
    <t>CA-2024-10234</t>
  </si>
  <si>
    <t>CG-1721</t>
  </si>
  <si>
    <t>CA-2024-10109</t>
  </si>
  <si>
    <t>CG-6448</t>
  </si>
  <si>
    <t>PROD-179</t>
  </si>
  <si>
    <t>CA-2024-10483</t>
  </si>
  <si>
    <t>CA-2024-10213</t>
  </si>
  <si>
    <t>CG-3854</t>
  </si>
  <si>
    <t>Furnishings Product 3</t>
  </si>
  <si>
    <t>CA-2024-10238</t>
  </si>
  <si>
    <t>CG-7320</t>
  </si>
  <si>
    <t>PROD-157</t>
  </si>
  <si>
    <t>CA-2024-10335</t>
  </si>
  <si>
    <t>CG-8334</t>
  </si>
  <si>
    <t>CA-2024-10471</t>
  </si>
  <si>
    <t>CG-6279</t>
  </si>
  <si>
    <t>PROD-440</t>
  </si>
  <si>
    <t>CA-2024-10229</t>
  </si>
  <si>
    <t>CG-7094</t>
  </si>
  <si>
    <t>PROD-778</t>
  </si>
  <si>
    <t>CA-2024-10477</t>
  </si>
  <si>
    <t>PROD-283</t>
  </si>
  <si>
    <t>CA-2024-10293</t>
  </si>
  <si>
    <t>CG-8533</t>
  </si>
  <si>
    <t>PROD-710</t>
  </si>
  <si>
    <t>SIMPLE KPI TRACKING SHEET</t>
  </si>
  <si>
    <t xml:space="preserve"> </t>
  </si>
  <si>
    <t>KPI</t>
  </si>
  <si>
    <t>VALUE</t>
  </si>
  <si>
    <t>Total Revenue</t>
  </si>
  <si>
    <t>Total Units Sold</t>
  </si>
  <si>
    <t>Total Orders</t>
  </si>
  <si>
    <t>Average Order Value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</si>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</sst>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\-mm\-dd"/>
    <numFmt numFmtId="167" formatCode="\$#,##0.00"/>
    <numFmt numFmtId="175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7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\$#,##0.00"/>
    </dxf>
    <dxf>
      <numFmt numFmtId="13" formatCode="0%"/>
    </dxf>
    <dxf>
      <numFmt numFmtId="167" formatCode="\$#,##0.00"/>
    </dxf>
    <dxf>
      <numFmt numFmtId="166" formatCode="yyyy\-mm\-dd"/>
    </dxf>
    <dxf>
      <numFmt numFmtId="166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1A48E-EBC0-44A1-AB38-9AD682E70FC8}" name="Orders" displayName="Orders" ref="A1:U601" totalsRowShown="0" headerRowDxfId="0" headerRowBorderDxfId="6" tableBorderDxfId="7">
  <autoFilter ref="A1:U601" xr:uid="{00000000-0009-0000-0000-000000000000}"/>
  <tableColumns count="21">
    <tableColumn id="1" xr3:uid="{BFC6DBF3-8B1A-434B-9645-AF9E9513BA9C}" name="Row ID"/>
    <tableColumn id="2" xr3:uid="{FEFA734C-3230-413C-94A0-97841F0C7150}" name="Order ID"/>
    <tableColumn id="3" xr3:uid="{B9583F8E-4316-41E7-BE85-156C4702E6FE}" name="Order Date" dataDxfId="5"/>
    <tableColumn id="4" xr3:uid="{7F39BCE5-EFFA-48F7-83D7-63D46BC0E887}" name="Ship Date" dataDxfId="4"/>
    <tableColumn id="5" xr3:uid="{0838525B-D30B-4E55-ABCD-FC946702B7F7}" name="Ship Mode"/>
    <tableColumn id="6" xr3:uid="{B3AAA5F7-7FB4-4411-BC37-CFF399C2B758}" name="Customer ID"/>
    <tableColumn id="7" xr3:uid="{75A6B739-2B2E-41F6-AAF3-F04096729BC5}" name="Customer Name"/>
    <tableColumn id="8" xr3:uid="{83E55F39-7868-4ADC-9997-6A912C91A162}" name="Segment"/>
    <tableColumn id="9" xr3:uid="{1ED293B4-C82E-42F7-B3DC-D83A41FADE5B}" name="Country"/>
    <tableColumn id="10" xr3:uid="{1262E7F7-134B-4D92-8D8C-9579E413DFCE}" name="City"/>
    <tableColumn id="11" xr3:uid="{129FFB46-CB76-49B6-99B6-084D32A78573}" name="State"/>
    <tableColumn id="12" xr3:uid="{1DEA27C9-9DCE-4ADC-80D6-610EF48DEA0A}" name="Postal Code"/>
    <tableColumn id="13" xr3:uid="{9DD5DBBD-D829-4D6B-8AC7-CB792DAD0590}" name="Region"/>
    <tableColumn id="14" xr3:uid="{CCFD109B-7A0D-4308-8678-C6319EC1EC27}" name="Product ID"/>
    <tableColumn id="15" xr3:uid="{3976646C-B754-4CDF-B0A1-5F8ADDD7F886}" name="Category"/>
    <tableColumn id="16" xr3:uid="{7CBF6A6B-91EC-42AA-910C-B089C7C2953D}" name="Sub-Category"/>
    <tableColumn id="17" xr3:uid="{9B307BF5-7046-4284-BC4F-3E9CEE4D1CFD}" name="Product Name"/>
    <tableColumn id="18" xr3:uid="{74865BFC-9C0A-4A82-984F-C2C6FEC57699}" name="Sales" dataDxfId="3"/>
    <tableColumn id="19" xr3:uid="{37DE19F6-14BF-48BC-AD6F-449F345209F8}" name="Quantity"/>
    <tableColumn id="20" xr3:uid="{B6EA92C9-102D-4B7E-94A2-8F74DE0A37F4}" name="Discount" dataDxfId="2"/>
    <tableColumn id="21" xr3:uid="{866E0055-FA3F-4289-B2FA-E524C650D4D4}" name="Profi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1"/>
  <sheetViews>
    <sheetView workbookViewId="0">
      <pane ySplit="1" topLeftCell="A577" activePane="bottomLeft" state="frozen"/>
      <selection pane="bottomLeft" activeCell="D607" sqref="D607"/>
    </sheetView>
  </sheetViews>
  <sheetFormatPr defaultRowHeight="14.5" x14ac:dyDescent="0.35"/>
  <cols>
    <col min="1" max="1" width="11.26953125" bestFit="1" customWidth="1"/>
    <col min="2" max="2" width="13.453125" bestFit="1" customWidth="1"/>
    <col min="3" max="3" width="14.7265625" bestFit="1" customWidth="1"/>
    <col min="4" max="4" width="13.36328125" bestFit="1" customWidth="1"/>
    <col min="5" max="5" width="14.26953125" bestFit="1" customWidth="1"/>
    <col min="6" max="6" width="15.81640625" bestFit="1" customWidth="1"/>
    <col min="7" max="7" width="19" bestFit="1" customWidth="1"/>
    <col min="8" max="8" width="12.6328125" bestFit="1" customWidth="1"/>
    <col min="9" max="9" width="12.08984375" bestFit="1" customWidth="1"/>
    <col min="10" max="11" width="12" bestFit="1" customWidth="1"/>
    <col min="12" max="12" width="15.26953125" bestFit="1" customWidth="1"/>
    <col min="13" max="13" width="11" bestFit="1" customWidth="1"/>
    <col min="14" max="14" width="14.26953125" bestFit="1" customWidth="1"/>
    <col min="15" max="15" width="13.1796875" bestFit="1" customWidth="1"/>
    <col min="16" max="16" width="16.54296875" bestFit="1" customWidth="1"/>
    <col min="17" max="17" width="19.90625" bestFit="1" customWidth="1"/>
    <col min="18" max="18" width="9.54296875" bestFit="1" customWidth="1"/>
    <col min="19" max="20" width="12.7265625" bestFit="1" customWidth="1"/>
    <col min="21" max="21" width="10.08984375" bestFit="1" customWidth="1"/>
  </cols>
  <sheetData>
    <row r="1" spans="1:2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5">
      <c r="A2">
        <v>519</v>
      </c>
      <c r="B2" t="s">
        <v>21</v>
      </c>
      <c r="C2" s="1">
        <v>44562</v>
      </c>
      <c r="D2" s="1">
        <v>44565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>
        <v>64176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2">
        <v>149.91</v>
      </c>
      <c r="S2">
        <v>1</v>
      </c>
      <c r="T2" s="3">
        <v>0.05</v>
      </c>
      <c r="U2" s="2">
        <v>15.3</v>
      </c>
    </row>
    <row r="3" spans="1:21" x14ac:dyDescent="0.35">
      <c r="A3">
        <v>350</v>
      </c>
      <c r="B3" t="s">
        <v>33</v>
      </c>
      <c r="C3" s="1">
        <v>44562</v>
      </c>
      <c r="D3" s="1">
        <v>44566</v>
      </c>
      <c r="E3" t="s">
        <v>34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38</v>
      </c>
      <c r="L3">
        <v>43085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s="2">
        <v>47.8</v>
      </c>
      <c r="S3">
        <v>2</v>
      </c>
      <c r="T3" s="3">
        <v>0.3</v>
      </c>
      <c r="U3" s="2">
        <v>3.8</v>
      </c>
    </row>
    <row r="4" spans="1:21" x14ac:dyDescent="0.35">
      <c r="A4">
        <v>149</v>
      </c>
      <c r="B4" t="s">
        <v>44</v>
      </c>
      <c r="C4" s="1">
        <v>44562</v>
      </c>
      <c r="D4" s="1">
        <v>44565</v>
      </c>
      <c r="E4" t="s">
        <v>45</v>
      </c>
      <c r="F4" t="s">
        <v>46</v>
      </c>
      <c r="G4" t="s">
        <v>47</v>
      </c>
      <c r="H4" t="s">
        <v>37</v>
      </c>
      <c r="I4" t="s">
        <v>26</v>
      </c>
      <c r="J4" t="s">
        <v>48</v>
      </c>
      <c r="K4" t="s">
        <v>48</v>
      </c>
      <c r="L4">
        <v>62893</v>
      </c>
      <c r="M4" t="s">
        <v>39</v>
      </c>
      <c r="N4" t="s">
        <v>49</v>
      </c>
      <c r="O4" t="s">
        <v>41</v>
      </c>
      <c r="P4" t="s">
        <v>42</v>
      </c>
      <c r="Q4" t="s">
        <v>50</v>
      </c>
      <c r="R4" s="2">
        <v>68.62</v>
      </c>
      <c r="S4">
        <v>7</v>
      </c>
      <c r="T4" s="3">
        <v>0.4</v>
      </c>
      <c r="U4" s="2">
        <v>-4.3899999999999997</v>
      </c>
    </row>
    <row r="5" spans="1:21" x14ac:dyDescent="0.35">
      <c r="A5">
        <v>13</v>
      </c>
      <c r="B5" t="s">
        <v>51</v>
      </c>
      <c r="C5" s="1">
        <v>44563</v>
      </c>
      <c r="D5" s="1">
        <v>44569</v>
      </c>
      <c r="E5" t="s">
        <v>34</v>
      </c>
      <c r="F5" t="s">
        <v>52</v>
      </c>
      <c r="G5" t="s">
        <v>53</v>
      </c>
      <c r="H5" t="s">
        <v>54</v>
      </c>
      <c r="I5" t="s">
        <v>26</v>
      </c>
      <c r="J5" t="s">
        <v>55</v>
      </c>
      <c r="K5" t="s">
        <v>55</v>
      </c>
      <c r="L5">
        <v>71267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s="2">
        <v>364.79</v>
      </c>
      <c r="S5">
        <v>3</v>
      </c>
      <c r="T5" s="3">
        <v>0.3</v>
      </c>
      <c r="U5" s="2">
        <v>37</v>
      </c>
    </row>
    <row r="6" spans="1:21" x14ac:dyDescent="0.35">
      <c r="A6">
        <v>179</v>
      </c>
      <c r="B6" t="s">
        <v>61</v>
      </c>
      <c r="C6" s="1">
        <v>44564</v>
      </c>
      <c r="D6" s="1">
        <v>44566</v>
      </c>
      <c r="E6" t="s">
        <v>22</v>
      </c>
      <c r="F6" t="s">
        <v>62</v>
      </c>
      <c r="G6" t="s">
        <v>63</v>
      </c>
      <c r="H6" t="s">
        <v>25</v>
      </c>
      <c r="I6" t="s">
        <v>26</v>
      </c>
      <c r="J6" t="s">
        <v>64</v>
      </c>
      <c r="K6" t="s">
        <v>64</v>
      </c>
      <c r="L6">
        <v>83402</v>
      </c>
      <c r="M6" t="s">
        <v>65</v>
      </c>
      <c r="N6" t="s">
        <v>66</v>
      </c>
      <c r="O6" t="s">
        <v>41</v>
      </c>
      <c r="P6" t="s">
        <v>42</v>
      </c>
      <c r="Q6" t="s">
        <v>67</v>
      </c>
      <c r="R6" s="2">
        <v>38.08</v>
      </c>
      <c r="S6">
        <v>3</v>
      </c>
      <c r="T6" s="3">
        <v>0.1</v>
      </c>
      <c r="U6" s="2">
        <v>5.17</v>
      </c>
    </row>
    <row r="7" spans="1:21" x14ac:dyDescent="0.35">
      <c r="A7">
        <v>48</v>
      </c>
      <c r="B7" t="s">
        <v>68</v>
      </c>
      <c r="C7" s="1">
        <v>44566</v>
      </c>
      <c r="D7" s="1">
        <v>44568</v>
      </c>
      <c r="E7" t="s">
        <v>45</v>
      </c>
      <c r="F7" t="s">
        <v>69</v>
      </c>
      <c r="G7" t="s">
        <v>70</v>
      </c>
      <c r="H7" t="s">
        <v>25</v>
      </c>
      <c r="I7" t="s">
        <v>26</v>
      </c>
      <c r="J7" t="s">
        <v>71</v>
      </c>
      <c r="K7" t="s">
        <v>71</v>
      </c>
      <c r="L7">
        <v>28574</v>
      </c>
      <c r="M7" t="s">
        <v>56</v>
      </c>
      <c r="N7" t="s">
        <v>72</v>
      </c>
      <c r="O7" t="s">
        <v>41</v>
      </c>
      <c r="P7" t="s">
        <v>73</v>
      </c>
      <c r="Q7" t="s">
        <v>74</v>
      </c>
      <c r="R7" s="2">
        <v>89.77</v>
      </c>
      <c r="S7">
        <v>7</v>
      </c>
      <c r="T7" s="3">
        <v>0.2</v>
      </c>
      <c r="U7" s="2">
        <v>8.64</v>
      </c>
    </row>
    <row r="8" spans="1:21" x14ac:dyDescent="0.35">
      <c r="A8">
        <v>175</v>
      </c>
      <c r="B8" t="s">
        <v>75</v>
      </c>
      <c r="C8" s="1">
        <v>44573</v>
      </c>
      <c r="D8" s="1">
        <v>44574</v>
      </c>
      <c r="E8" t="s">
        <v>22</v>
      </c>
      <c r="F8" t="s">
        <v>76</v>
      </c>
      <c r="G8" t="s">
        <v>53</v>
      </c>
      <c r="H8" t="s">
        <v>54</v>
      </c>
      <c r="I8" t="s">
        <v>26</v>
      </c>
      <c r="J8" t="s">
        <v>48</v>
      </c>
      <c r="K8" t="s">
        <v>48</v>
      </c>
      <c r="L8">
        <v>12204</v>
      </c>
      <c r="M8" t="s">
        <v>39</v>
      </c>
      <c r="N8" t="s">
        <v>77</v>
      </c>
      <c r="O8" t="s">
        <v>41</v>
      </c>
      <c r="P8" t="s">
        <v>42</v>
      </c>
      <c r="Q8" t="s">
        <v>78</v>
      </c>
      <c r="R8" s="2">
        <v>39.6</v>
      </c>
      <c r="S8">
        <v>1</v>
      </c>
      <c r="T8" s="3">
        <v>0.2</v>
      </c>
      <c r="U8" s="2">
        <v>0.51</v>
      </c>
    </row>
    <row r="9" spans="1:21" x14ac:dyDescent="0.35">
      <c r="A9">
        <v>541</v>
      </c>
      <c r="B9" t="s">
        <v>79</v>
      </c>
      <c r="C9" s="1">
        <v>44575</v>
      </c>
      <c r="D9" s="1">
        <v>44578</v>
      </c>
      <c r="E9" t="s">
        <v>34</v>
      </c>
      <c r="F9" t="s">
        <v>80</v>
      </c>
      <c r="G9" t="s">
        <v>81</v>
      </c>
      <c r="H9" t="s">
        <v>25</v>
      </c>
      <c r="I9" t="s">
        <v>26</v>
      </c>
      <c r="J9" t="s">
        <v>82</v>
      </c>
      <c r="K9" t="s">
        <v>82</v>
      </c>
      <c r="L9">
        <v>91147</v>
      </c>
      <c r="M9" t="s">
        <v>28</v>
      </c>
      <c r="N9" t="s">
        <v>83</v>
      </c>
      <c r="O9" t="s">
        <v>58</v>
      </c>
      <c r="P9" t="s">
        <v>59</v>
      </c>
      <c r="Q9" t="s">
        <v>84</v>
      </c>
      <c r="R9" s="2">
        <v>284.54000000000002</v>
      </c>
      <c r="S9">
        <v>7</v>
      </c>
      <c r="T9" s="3">
        <v>0.3</v>
      </c>
      <c r="U9" s="2">
        <v>10.88</v>
      </c>
    </row>
    <row r="10" spans="1:21" x14ac:dyDescent="0.35">
      <c r="A10">
        <v>88</v>
      </c>
      <c r="B10" t="s">
        <v>85</v>
      </c>
      <c r="C10" s="1">
        <v>44582</v>
      </c>
      <c r="D10" s="1">
        <v>44586</v>
      </c>
      <c r="E10" t="s">
        <v>34</v>
      </c>
      <c r="F10" t="s">
        <v>86</v>
      </c>
      <c r="G10" t="s">
        <v>87</v>
      </c>
      <c r="H10" t="s">
        <v>54</v>
      </c>
      <c r="I10" t="s">
        <v>26</v>
      </c>
      <c r="J10" t="s">
        <v>38</v>
      </c>
      <c r="K10" t="s">
        <v>38</v>
      </c>
      <c r="L10">
        <v>80135</v>
      </c>
      <c r="M10" t="s">
        <v>39</v>
      </c>
      <c r="N10" t="s">
        <v>88</v>
      </c>
      <c r="O10" t="s">
        <v>58</v>
      </c>
      <c r="P10" t="s">
        <v>89</v>
      </c>
      <c r="Q10" t="s">
        <v>90</v>
      </c>
      <c r="R10" s="2">
        <v>258.92</v>
      </c>
      <c r="S10">
        <v>6</v>
      </c>
      <c r="T10" s="3">
        <v>0.15</v>
      </c>
      <c r="U10" s="2">
        <v>9.81</v>
      </c>
    </row>
    <row r="11" spans="1:21" x14ac:dyDescent="0.35">
      <c r="A11">
        <v>477</v>
      </c>
      <c r="B11" t="s">
        <v>91</v>
      </c>
      <c r="C11" s="1">
        <v>44584</v>
      </c>
      <c r="D11" s="1">
        <v>44587</v>
      </c>
      <c r="E11" t="s">
        <v>34</v>
      </c>
      <c r="F11" t="s">
        <v>92</v>
      </c>
      <c r="G11" t="s">
        <v>93</v>
      </c>
      <c r="H11" t="s">
        <v>25</v>
      </c>
      <c r="I11" t="s">
        <v>26</v>
      </c>
      <c r="J11" t="s">
        <v>55</v>
      </c>
      <c r="K11" t="s">
        <v>55</v>
      </c>
      <c r="L11">
        <v>67395</v>
      </c>
      <c r="M11" t="s">
        <v>56</v>
      </c>
      <c r="N11" t="s">
        <v>94</v>
      </c>
      <c r="O11" t="s">
        <v>41</v>
      </c>
      <c r="P11" t="s">
        <v>73</v>
      </c>
      <c r="Q11" t="s">
        <v>95</v>
      </c>
      <c r="R11" s="2">
        <v>16.13</v>
      </c>
      <c r="S11">
        <v>4</v>
      </c>
      <c r="T11" s="3">
        <v>0.15</v>
      </c>
      <c r="U11" s="2">
        <v>3.33</v>
      </c>
    </row>
    <row r="12" spans="1:21" x14ac:dyDescent="0.35">
      <c r="A12">
        <v>163</v>
      </c>
      <c r="B12" t="s">
        <v>96</v>
      </c>
      <c r="C12" s="1">
        <v>44586</v>
      </c>
      <c r="D12" s="1">
        <v>44590</v>
      </c>
      <c r="E12" t="s">
        <v>45</v>
      </c>
      <c r="F12" t="s">
        <v>97</v>
      </c>
      <c r="G12" t="s">
        <v>98</v>
      </c>
      <c r="H12" t="s">
        <v>54</v>
      </c>
      <c r="I12" t="s">
        <v>26</v>
      </c>
      <c r="J12" t="s">
        <v>48</v>
      </c>
      <c r="K12" t="s">
        <v>48</v>
      </c>
      <c r="L12">
        <v>18605</v>
      </c>
      <c r="M12" t="s">
        <v>39</v>
      </c>
      <c r="N12" t="s">
        <v>99</v>
      </c>
      <c r="O12" t="s">
        <v>30</v>
      </c>
      <c r="P12" t="s">
        <v>100</v>
      </c>
      <c r="Q12" t="s">
        <v>101</v>
      </c>
      <c r="R12" s="2">
        <v>217.73</v>
      </c>
      <c r="S12">
        <v>4</v>
      </c>
      <c r="T12" s="3">
        <v>0.2</v>
      </c>
      <c r="U12" s="2">
        <v>-3.27</v>
      </c>
    </row>
    <row r="13" spans="1:21" x14ac:dyDescent="0.35">
      <c r="A13">
        <v>433</v>
      </c>
      <c r="B13" t="s">
        <v>102</v>
      </c>
      <c r="C13" s="1">
        <v>44587</v>
      </c>
      <c r="D13" s="1">
        <v>44591</v>
      </c>
      <c r="E13" t="s">
        <v>34</v>
      </c>
      <c r="F13" t="s">
        <v>103</v>
      </c>
      <c r="G13" t="s">
        <v>104</v>
      </c>
      <c r="H13" t="s">
        <v>25</v>
      </c>
      <c r="I13" t="s">
        <v>26</v>
      </c>
      <c r="J13" t="s">
        <v>27</v>
      </c>
      <c r="K13" t="s">
        <v>27</v>
      </c>
      <c r="L13">
        <v>44815</v>
      </c>
      <c r="M13" t="s">
        <v>28</v>
      </c>
      <c r="N13" t="s">
        <v>105</v>
      </c>
      <c r="O13" t="s">
        <v>41</v>
      </c>
      <c r="P13" t="s">
        <v>106</v>
      </c>
      <c r="Q13" t="s">
        <v>107</v>
      </c>
      <c r="R13" s="2">
        <v>93.8</v>
      </c>
      <c r="S13">
        <v>6</v>
      </c>
      <c r="T13" s="3">
        <v>0.15</v>
      </c>
      <c r="U13" s="2">
        <v>18.11</v>
      </c>
    </row>
    <row r="14" spans="1:21" x14ac:dyDescent="0.35">
      <c r="A14">
        <v>62</v>
      </c>
      <c r="B14" t="s">
        <v>108</v>
      </c>
      <c r="C14" s="1">
        <v>44588</v>
      </c>
      <c r="D14" s="1">
        <v>44593</v>
      </c>
      <c r="E14" t="s">
        <v>45</v>
      </c>
      <c r="F14" t="s">
        <v>109</v>
      </c>
      <c r="G14" t="s">
        <v>110</v>
      </c>
      <c r="H14" t="s">
        <v>37</v>
      </c>
      <c r="I14" t="s">
        <v>26</v>
      </c>
      <c r="J14" t="s">
        <v>71</v>
      </c>
      <c r="K14" t="s">
        <v>71</v>
      </c>
      <c r="L14">
        <v>71120</v>
      </c>
      <c r="M14" t="s">
        <v>56</v>
      </c>
      <c r="N14" t="s">
        <v>111</v>
      </c>
      <c r="O14" t="s">
        <v>58</v>
      </c>
      <c r="P14" t="s">
        <v>112</v>
      </c>
      <c r="Q14" t="s">
        <v>113</v>
      </c>
      <c r="R14" s="2">
        <v>193.73</v>
      </c>
      <c r="S14">
        <v>2</v>
      </c>
      <c r="T14" s="3">
        <v>0.15</v>
      </c>
      <c r="U14" s="2">
        <v>40.450000000000003</v>
      </c>
    </row>
    <row r="15" spans="1:21" x14ac:dyDescent="0.35">
      <c r="A15">
        <v>255</v>
      </c>
      <c r="B15" t="s">
        <v>114</v>
      </c>
      <c r="C15" s="1">
        <v>44591</v>
      </c>
      <c r="D15" s="1">
        <v>44595</v>
      </c>
      <c r="E15" t="s">
        <v>45</v>
      </c>
      <c r="F15" t="s">
        <v>115</v>
      </c>
      <c r="G15" t="s">
        <v>116</v>
      </c>
      <c r="H15" t="s">
        <v>25</v>
      </c>
      <c r="I15" t="s">
        <v>26</v>
      </c>
      <c r="J15" t="s">
        <v>71</v>
      </c>
      <c r="K15" t="s">
        <v>71</v>
      </c>
      <c r="L15">
        <v>60772</v>
      </c>
      <c r="M15" t="s">
        <v>56</v>
      </c>
      <c r="N15" t="s">
        <v>117</v>
      </c>
      <c r="O15" t="s">
        <v>30</v>
      </c>
      <c r="P15" t="s">
        <v>100</v>
      </c>
      <c r="Q15" t="s">
        <v>118</v>
      </c>
      <c r="R15" s="2">
        <v>54.46</v>
      </c>
      <c r="S15">
        <v>2</v>
      </c>
      <c r="T15" s="3">
        <v>0.1</v>
      </c>
      <c r="U15" s="2">
        <v>4.32</v>
      </c>
    </row>
    <row r="16" spans="1:21" x14ac:dyDescent="0.35">
      <c r="A16">
        <v>387</v>
      </c>
      <c r="B16" t="s">
        <v>119</v>
      </c>
      <c r="C16" s="1">
        <v>44592</v>
      </c>
      <c r="D16" s="1">
        <v>44595</v>
      </c>
      <c r="E16" t="s">
        <v>34</v>
      </c>
      <c r="F16" t="s">
        <v>120</v>
      </c>
      <c r="G16" t="s">
        <v>121</v>
      </c>
      <c r="H16" t="s">
        <v>25</v>
      </c>
      <c r="I16" t="s">
        <v>26</v>
      </c>
      <c r="J16" t="s">
        <v>122</v>
      </c>
      <c r="K16" t="s">
        <v>122</v>
      </c>
      <c r="L16">
        <v>85761</v>
      </c>
      <c r="M16" t="s">
        <v>65</v>
      </c>
      <c r="N16" t="s">
        <v>123</v>
      </c>
      <c r="O16" t="s">
        <v>30</v>
      </c>
      <c r="P16" t="s">
        <v>31</v>
      </c>
      <c r="Q16" t="s">
        <v>32</v>
      </c>
      <c r="R16" s="2">
        <v>311.57</v>
      </c>
      <c r="S16">
        <v>5</v>
      </c>
      <c r="T16" s="3">
        <v>0.4</v>
      </c>
      <c r="U16" s="2">
        <v>-31.86</v>
      </c>
    </row>
    <row r="17" spans="1:21" x14ac:dyDescent="0.35">
      <c r="A17">
        <v>543</v>
      </c>
      <c r="B17" t="s">
        <v>124</v>
      </c>
      <c r="C17" s="1">
        <v>44593</v>
      </c>
      <c r="D17" s="1">
        <v>44599</v>
      </c>
      <c r="E17" t="s">
        <v>45</v>
      </c>
      <c r="F17" t="s">
        <v>125</v>
      </c>
      <c r="G17" t="s">
        <v>126</v>
      </c>
      <c r="H17" t="s">
        <v>25</v>
      </c>
      <c r="I17" t="s">
        <v>26</v>
      </c>
      <c r="J17" t="s">
        <v>127</v>
      </c>
      <c r="K17" t="s">
        <v>127</v>
      </c>
      <c r="L17">
        <v>32703</v>
      </c>
      <c r="M17" t="s">
        <v>56</v>
      </c>
      <c r="N17" t="s">
        <v>128</v>
      </c>
      <c r="O17" t="s">
        <v>30</v>
      </c>
      <c r="P17" t="s">
        <v>100</v>
      </c>
      <c r="Q17" t="s">
        <v>129</v>
      </c>
      <c r="R17" s="2">
        <v>230.15</v>
      </c>
      <c r="S17">
        <v>5</v>
      </c>
      <c r="T17" s="3">
        <v>0.15</v>
      </c>
      <c r="U17" s="2">
        <v>2.61</v>
      </c>
    </row>
    <row r="18" spans="1:21" x14ac:dyDescent="0.35">
      <c r="A18">
        <v>43</v>
      </c>
      <c r="B18" t="s">
        <v>130</v>
      </c>
      <c r="C18" s="1">
        <v>44595</v>
      </c>
      <c r="D18" s="1">
        <v>44598</v>
      </c>
      <c r="E18" t="s">
        <v>34</v>
      </c>
      <c r="F18" t="s">
        <v>131</v>
      </c>
      <c r="G18" t="s">
        <v>132</v>
      </c>
      <c r="H18" t="s">
        <v>25</v>
      </c>
      <c r="I18" t="s">
        <v>26</v>
      </c>
      <c r="J18" t="s">
        <v>27</v>
      </c>
      <c r="K18" t="s">
        <v>27</v>
      </c>
      <c r="L18">
        <v>11605</v>
      </c>
      <c r="M18" t="s">
        <v>28</v>
      </c>
      <c r="N18" t="s">
        <v>133</v>
      </c>
      <c r="O18" t="s">
        <v>41</v>
      </c>
      <c r="P18" t="s">
        <v>134</v>
      </c>
      <c r="Q18" t="s">
        <v>135</v>
      </c>
      <c r="R18" s="2">
        <v>114.88</v>
      </c>
      <c r="S18">
        <v>2</v>
      </c>
      <c r="T18" s="3">
        <v>0.05</v>
      </c>
      <c r="U18" s="2">
        <v>9.64</v>
      </c>
    </row>
    <row r="19" spans="1:21" x14ac:dyDescent="0.35">
      <c r="A19">
        <v>408</v>
      </c>
      <c r="B19" t="s">
        <v>136</v>
      </c>
      <c r="C19" s="1">
        <v>44599</v>
      </c>
      <c r="D19" s="1">
        <v>44602</v>
      </c>
      <c r="E19" t="s">
        <v>45</v>
      </c>
      <c r="F19" t="s">
        <v>137</v>
      </c>
      <c r="G19" t="s">
        <v>138</v>
      </c>
      <c r="H19" t="s">
        <v>37</v>
      </c>
      <c r="I19" t="s">
        <v>26</v>
      </c>
      <c r="J19" t="s">
        <v>139</v>
      </c>
      <c r="K19" t="s">
        <v>139</v>
      </c>
      <c r="L19">
        <v>93641</v>
      </c>
      <c r="M19" t="s">
        <v>65</v>
      </c>
      <c r="N19" t="s">
        <v>140</v>
      </c>
      <c r="O19" t="s">
        <v>41</v>
      </c>
      <c r="P19" t="s">
        <v>106</v>
      </c>
      <c r="Q19" t="s">
        <v>141</v>
      </c>
      <c r="R19" s="2">
        <v>61.14</v>
      </c>
      <c r="S19">
        <v>5</v>
      </c>
      <c r="T19" s="3">
        <v>0.1</v>
      </c>
      <c r="U19" s="2">
        <v>13.15</v>
      </c>
    </row>
    <row r="20" spans="1:21" x14ac:dyDescent="0.35">
      <c r="A20">
        <v>201</v>
      </c>
      <c r="B20" t="s">
        <v>142</v>
      </c>
      <c r="C20" s="1">
        <v>44600</v>
      </c>
      <c r="D20" s="1">
        <v>44602</v>
      </c>
      <c r="E20" t="s">
        <v>34</v>
      </c>
      <c r="F20" t="s">
        <v>143</v>
      </c>
      <c r="G20" t="s">
        <v>144</v>
      </c>
      <c r="H20" t="s">
        <v>25</v>
      </c>
      <c r="I20" t="s">
        <v>26</v>
      </c>
      <c r="J20" t="s">
        <v>48</v>
      </c>
      <c r="K20" t="s">
        <v>48</v>
      </c>
      <c r="L20">
        <v>93104</v>
      </c>
      <c r="M20" t="s">
        <v>39</v>
      </c>
      <c r="N20" t="s">
        <v>145</v>
      </c>
      <c r="O20" t="s">
        <v>30</v>
      </c>
      <c r="P20" t="s">
        <v>100</v>
      </c>
      <c r="Q20" t="s">
        <v>146</v>
      </c>
      <c r="R20" s="2">
        <v>369.64</v>
      </c>
      <c r="S20">
        <v>3</v>
      </c>
      <c r="T20" s="3">
        <v>0.05</v>
      </c>
      <c r="U20" s="2">
        <v>38.619999999999997</v>
      </c>
    </row>
    <row r="21" spans="1:21" x14ac:dyDescent="0.35">
      <c r="A21">
        <v>413</v>
      </c>
      <c r="B21" t="s">
        <v>147</v>
      </c>
      <c r="C21" s="1">
        <v>44608</v>
      </c>
      <c r="D21" s="1">
        <v>44611</v>
      </c>
      <c r="E21" t="s">
        <v>34</v>
      </c>
      <c r="F21" t="s">
        <v>148</v>
      </c>
      <c r="G21" t="s">
        <v>149</v>
      </c>
      <c r="H21" t="s">
        <v>37</v>
      </c>
      <c r="I21" t="s">
        <v>26</v>
      </c>
      <c r="J21" t="s">
        <v>71</v>
      </c>
      <c r="K21" t="s">
        <v>71</v>
      </c>
      <c r="L21">
        <v>71082</v>
      </c>
      <c r="M21" t="s">
        <v>56</v>
      </c>
      <c r="N21" t="s">
        <v>150</v>
      </c>
      <c r="O21" t="s">
        <v>41</v>
      </c>
      <c r="P21" t="s">
        <v>151</v>
      </c>
      <c r="Q21" t="s">
        <v>152</v>
      </c>
      <c r="R21" s="2">
        <v>116.29</v>
      </c>
      <c r="S21">
        <v>1</v>
      </c>
      <c r="T21" s="3">
        <v>0.2</v>
      </c>
      <c r="U21" s="2">
        <v>4.83</v>
      </c>
    </row>
    <row r="22" spans="1:21" x14ac:dyDescent="0.35">
      <c r="A22">
        <v>293</v>
      </c>
      <c r="B22" t="s">
        <v>153</v>
      </c>
      <c r="C22" s="1">
        <v>44609</v>
      </c>
      <c r="D22" s="1">
        <v>44611</v>
      </c>
      <c r="E22" t="s">
        <v>34</v>
      </c>
      <c r="F22" t="s">
        <v>154</v>
      </c>
      <c r="G22" t="s">
        <v>155</v>
      </c>
      <c r="H22" t="s">
        <v>37</v>
      </c>
      <c r="I22" t="s">
        <v>26</v>
      </c>
      <c r="J22" t="s">
        <v>38</v>
      </c>
      <c r="K22" t="s">
        <v>38</v>
      </c>
      <c r="L22">
        <v>37856</v>
      </c>
      <c r="M22" t="s">
        <v>39</v>
      </c>
      <c r="N22" t="s">
        <v>156</v>
      </c>
      <c r="O22" t="s">
        <v>30</v>
      </c>
      <c r="P22" t="s">
        <v>157</v>
      </c>
      <c r="Q22" t="s">
        <v>158</v>
      </c>
      <c r="R22" s="2">
        <v>339.58</v>
      </c>
      <c r="S22">
        <v>1</v>
      </c>
      <c r="T22" s="3">
        <v>0.1</v>
      </c>
      <c r="U22" s="2">
        <v>-1.3</v>
      </c>
    </row>
    <row r="23" spans="1:21" x14ac:dyDescent="0.35">
      <c r="A23">
        <v>128</v>
      </c>
      <c r="B23" t="s">
        <v>159</v>
      </c>
      <c r="C23" s="1">
        <v>44610</v>
      </c>
      <c r="D23" s="1">
        <v>44613</v>
      </c>
      <c r="E23" t="s">
        <v>34</v>
      </c>
      <c r="F23" t="s">
        <v>160</v>
      </c>
      <c r="G23" t="s">
        <v>161</v>
      </c>
      <c r="H23" t="s">
        <v>37</v>
      </c>
      <c r="I23" t="s">
        <v>26</v>
      </c>
      <c r="J23" t="s">
        <v>162</v>
      </c>
      <c r="K23" t="s">
        <v>162</v>
      </c>
      <c r="L23">
        <v>17710</v>
      </c>
      <c r="M23" t="s">
        <v>28</v>
      </c>
      <c r="N23" t="s">
        <v>163</v>
      </c>
      <c r="O23" t="s">
        <v>41</v>
      </c>
      <c r="P23" t="s">
        <v>151</v>
      </c>
      <c r="Q23" t="s">
        <v>164</v>
      </c>
      <c r="R23" s="2">
        <v>67.959999999999994</v>
      </c>
      <c r="S23">
        <v>1</v>
      </c>
      <c r="T23" s="3">
        <v>0</v>
      </c>
      <c r="U23" s="2">
        <v>15.06</v>
      </c>
    </row>
    <row r="24" spans="1:21" x14ac:dyDescent="0.35">
      <c r="A24">
        <v>381</v>
      </c>
      <c r="B24" t="s">
        <v>165</v>
      </c>
      <c r="C24" s="1">
        <v>44611</v>
      </c>
      <c r="D24" s="1">
        <v>44614</v>
      </c>
      <c r="E24" t="s">
        <v>34</v>
      </c>
      <c r="F24" t="s">
        <v>166</v>
      </c>
      <c r="G24" t="s">
        <v>167</v>
      </c>
      <c r="H24" t="s">
        <v>25</v>
      </c>
      <c r="I24" t="s">
        <v>26</v>
      </c>
      <c r="J24" t="s">
        <v>168</v>
      </c>
      <c r="K24" t="s">
        <v>168</v>
      </c>
      <c r="L24">
        <v>81218</v>
      </c>
      <c r="M24" t="s">
        <v>28</v>
      </c>
      <c r="N24" t="s">
        <v>169</v>
      </c>
      <c r="O24" t="s">
        <v>41</v>
      </c>
      <c r="P24" t="s">
        <v>170</v>
      </c>
      <c r="Q24" t="s">
        <v>171</v>
      </c>
      <c r="R24" s="2">
        <v>71.94</v>
      </c>
      <c r="S24">
        <v>6</v>
      </c>
      <c r="T24" s="3">
        <v>0.1</v>
      </c>
      <c r="U24" s="2">
        <v>10.220000000000001</v>
      </c>
    </row>
    <row r="25" spans="1:21" x14ac:dyDescent="0.35">
      <c r="A25">
        <v>273</v>
      </c>
      <c r="B25" t="s">
        <v>172</v>
      </c>
      <c r="C25" s="1">
        <v>44613</v>
      </c>
      <c r="D25" s="1">
        <v>44617</v>
      </c>
      <c r="E25" t="s">
        <v>34</v>
      </c>
      <c r="F25" t="s">
        <v>173</v>
      </c>
      <c r="G25" t="s">
        <v>174</v>
      </c>
      <c r="H25" t="s">
        <v>25</v>
      </c>
      <c r="I25" t="s">
        <v>26</v>
      </c>
      <c r="J25" t="s">
        <v>162</v>
      </c>
      <c r="K25" t="s">
        <v>162</v>
      </c>
      <c r="L25">
        <v>96133</v>
      </c>
      <c r="M25" t="s">
        <v>28</v>
      </c>
      <c r="N25" t="s">
        <v>175</v>
      </c>
      <c r="O25" t="s">
        <v>30</v>
      </c>
      <c r="P25" t="s">
        <v>176</v>
      </c>
      <c r="Q25" t="s">
        <v>177</v>
      </c>
      <c r="R25" s="2">
        <v>32.15</v>
      </c>
      <c r="S25">
        <v>4</v>
      </c>
      <c r="T25" s="3">
        <v>0.1</v>
      </c>
      <c r="U25" s="2">
        <v>2.0299999999999998</v>
      </c>
    </row>
    <row r="26" spans="1:21" x14ac:dyDescent="0.35">
      <c r="A26">
        <v>206</v>
      </c>
      <c r="B26" t="s">
        <v>178</v>
      </c>
      <c r="C26" s="1">
        <v>44613</v>
      </c>
      <c r="D26" s="1">
        <v>44618</v>
      </c>
      <c r="E26" t="s">
        <v>34</v>
      </c>
      <c r="F26" t="s">
        <v>179</v>
      </c>
      <c r="G26" t="s">
        <v>180</v>
      </c>
      <c r="H26" t="s">
        <v>25</v>
      </c>
      <c r="I26" t="s">
        <v>26</v>
      </c>
      <c r="J26" t="s">
        <v>181</v>
      </c>
      <c r="K26" t="s">
        <v>181</v>
      </c>
      <c r="L26">
        <v>42854</v>
      </c>
      <c r="M26" t="s">
        <v>65</v>
      </c>
      <c r="N26" t="s">
        <v>182</v>
      </c>
      <c r="O26" t="s">
        <v>41</v>
      </c>
      <c r="P26" t="s">
        <v>42</v>
      </c>
      <c r="Q26" t="s">
        <v>183</v>
      </c>
      <c r="R26" s="2">
        <v>31.46</v>
      </c>
      <c r="S26">
        <v>1</v>
      </c>
      <c r="T26" s="3">
        <v>0.1</v>
      </c>
      <c r="U26" s="2">
        <v>4.68</v>
      </c>
    </row>
    <row r="27" spans="1:21" x14ac:dyDescent="0.35">
      <c r="A27">
        <v>204</v>
      </c>
      <c r="B27" t="s">
        <v>184</v>
      </c>
      <c r="C27" s="1">
        <v>44624</v>
      </c>
      <c r="D27" s="1">
        <v>44626</v>
      </c>
      <c r="E27" t="s">
        <v>34</v>
      </c>
      <c r="F27" t="s">
        <v>185</v>
      </c>
      <c r="G27" t="s">
        <v>186</v>
      </c>
      <c r="H27" t="s">
        <v>25</v>
      </c>
      <c r="I27" t="s">
        <v>26</v>
      </c>
      <c r="J27" t="s">
        <v>187</v>
      </c>
      <c r="K27" t="s">
        <v>187</v>
      </c>
      <c r="L27">
        <v>77173</v>
      </c>
      <c r="M27" t="s">
        <v>39</v>
      </c>
      <c r="N27" t="s">
        <v>188</v>
      </c>
      <c r="O27" t="s">
        <v>41</v>
      </c>
      <c r="P27" t="s">
        <v>42</v>
      </c>
      <c r="Q27" t="s">
        <v>189</v>
      </c>
      <c r="R27" s="2">
        <v>184.97</v>
      </c>
      <c r="S27">
        <v>4</v>
      </c>
      <c r="T27" s="3">
        <v>0.05</v>
      </c>
      <c r="U27" s="2">
        <v>39.130000000000003</v>
      </c>
    </row>
    <row r="28" spans="1:21" x14ac:dyDescent="0.35">
      <c r="A28">
        <v>259</v>
      </c>
      <c r="B28" t="s">
        <v>190</v>
      </c>
      <c r="C28" s="1">
        <v>44625</v>
      </c>
      <c r="D28" s="1">
        <v>44627</v>
      </c>
      <c r="E28" t="s">
        <v>34</v>
      </c>
      <c r="F28" t="s">
        <v>191</v>
      </c>
      <c r="G28" t="s">
        <v>192</v>
      </c>
      <c r="H28" t="s">
        <v>37</v>
      </c>
      <c r="I28" t="s">
        <v>26</v>
      </c>
      <c r="J28" t="s">
        <v>193</v>
      </c>
      <c r="K28" t="s">
        <v>193</v>
      </c>
      <c r="L28">
        <v>74140</v>
      </c>
      <c r="M28" t="s">
        <v>39</v>
      </c>
      <c r="N28" t="s">
        <v>194</v>
      </c>
      <c r="O28" t="s">
        <v>30</v>
      </c>
      <c r="P28" t="s">
        <v>100</v>
      </c>
      <c r="Q28" t="s">
        <v>195</v>
      </c>
      <c r="R28" s="2">
        <v>86.77</v>
      </c>
      <c r="S28">
        <v>2</v>
      </c>
      <c r="T28" s="3">
        <v>0</v>
      </c>
      <c r="U28" s="2">
        <v>12.2</v>
      </c>
    </row>
    <row r="29" spans="1:21" x14ac:dyDescent="0.35">
      <c r="A29">
        <v>523</v>
      </c>
      <c r="B29" t="s">
        <v>196</v>
      </c>
      <c r="C29" s="1">
        <v>44627</v>
      </c>
      <c r="D29" s="1">
        <v>44631</v>
      </c>
      <c r="E29" t="s">
        <v>34</v>
      </c>
      <c r="F29" t="s">
        <v>197</v>
      </c>
      <c r="G29" t="s">
        <v>198</v>
      </c>
      <c r="H29" t="s">
        <v>37</v>
      </c>
      <c r="I29" t="s">
        <v>26</v>
      </c>
      <c r="J29" t="s">
        <v>168</v>
      </c>
      <c r="K29" t="s">
        <v>168</v>
      </c>
      <c r="L29">
        <v>56433</v>
      </c>
      <c r="M29" t="s">
        <v>28</v>
      </c>
      <c r="N29" t="s">
        <v>199</v>
      </c>
      <c r="O29" t="s">
        <v>58</v>
      </c>
      <c r="P29" t="s">
        <v>112</v>
      </c>
      <c r="Q29" t="s">
        <v>200</v>
      </c>
      <c r="R29" s="2">
        <v>212.35</v>
      </c>
      <c r="S29">
        <v>3</v>
      </c>
      <c r="T29" s="3">
        <v>0.4</v>
      </c>
      <c r="U29" s="2">
        <v>-8.52</v>
      </c>
    </row>
    <row r="30" spans="1:21" x14ac:dyDescent="0.35">
      <c r="A30">
        <v>492</v>
      </c>
      <c r="B30" t="s">
        <v>201</v>
      </c>
      <c r="C30" s="1">
        <v>44628</v>
      </c>
      <c r="D30" s="1">
        <v>44632</v>
      </c>
      <c r="E30" t="s">
        <v>34</v>
      </c>
      <c r="F30" t="s">
        <v>202</v>
      </c>
      <c r="G30" t="s">
        <v>203</v>
      </c>
      <c r="H30" t="s">
        <v>25</v>
      </c>
      <c r="I30" t="s">
        <v>26</v>
      </c>
      <c r="J30" t="s">
        <v>204</v>
      </c>
      <c r="K30" t="s">
        <v>204</v>
      </c>
      <c r="L30">
        <v>50136</v>
      </c>
      <c r="M30" t="s">
        <v>39</v>
      </c>
      <c r="N30" t="s">
        <v>205</v>
      </c>
      <c r="O30" t="s">
        <v>30</v>
      </c>
      <c r="P30" t="s">
        <v>157</v>
      </c>
      <c r="Q30" t="s">
        <v>206</v>
      </c>
      <c r="R30" s="2">
        <v>146.52000000000001</v>
      </c>
      <c r="S30">
        <v>2</v>
      </c>
      <c r="T30" s="3">
        <v>0.1</v>
      </c>
      <c r="U30" s="2">
        <v>7.52</v>
      </c>
    </row>
    <row r="31" spans="1:21" x14ac:dyDescent="0.35">
      <c r="A31">
        <v>521</v>
      </c>
      <c r="B31" t="s">
        <v>207</v>
      </c>
      <c r="C31" s="1">
        <v>44635</v>
      </c>
      <c r="D31" s="1">
        <v>44637</v>
      </c>
      <c r="E31" t="s">
        <v>34</v>
      </c>
      <c r="F31" t="s">
        <v>208</v>
      </c>
      <c r="G31" t="s">
        <v>209</v>
      </c>
      <c r="H31" t="s">
        <v>25</v>
      </c>
      <c r="I31" t="s">
        <v>26</v>
      </c>
      <c r="J31" t="s">
        <v>71</v>
      </c>
      <c r="K31" t="s">
        <v>71</v>
      </c>
      <c r="L31">
        <v>35395</v>
      </c>
      <c r="M31" t="s">
        <v>56</v>
      </c>
      <c r="N31" t="s">
        <v>210</v>
      </c>
      <c r="O31" t="s">
        <v>58</v>
      </c>
      <c r="P31" t="s">
        <v>89</v>
      </c>
      <c r="Q31" t="s">
        <v>211</v>
      </c>
      <c r="R31" s="2">
        <v>404.4</v>
      </c>
      <c r="S31">
        <v>5</v>
      </c>
      <c r="T31" s="3">
        <v>0.2</v>
      </c>
      <c r="U31" s="2">
        <v>55.91</v>
      </c>
    </row>
    <row r="32" spans="1:21" x14ac:dyDescent="0.35">
      <c r="A32">
        <v>287</v>
      </c>
      <c r="B32" t="s">
        <v>212</v>
      </c>
      <c r="C32" s="1">
        <v>44637</v>
      </c>
      <c r="D32" s="1">
        <v>44641</v>
      </c>
      <c r="E32" t="s">
        <v>45</v>
      </c>
      <c r="F32" t="s">
        <v>213</v>
      </c>
      <c r="G32" t="s">
        <v>110</v>
      </c>
      <c r="H32" t="s">
        <v>54</v>
      </c>
      <c r="I32" t="s">
        <v>26</v>
      </c>
      <c r="J32" t="s">
        <v>168</v>
      </c>
      <c r="K32" t="s">
        <v>168</v>
      </c>
      <c r="L32">
        <v>24997</v>
      </c>
      <c r="M32" t="s">
        <v>28</v>
      </c>
      <c r="N32" t="s">
        <v>214</v>
      </c>
      <c r="O32" t="s">
        <v>58</v>
      </c>
      <c r="P32" t="s">
        <v>59</v>
      </c>
      <c r="Q32" t="s">
        <v>215</v>
      </c>
      <c r="R32" s="2">
        <v>273.07</v>
      </c>
      <c r="S32">
        <v>6</v>
      </c>
      <c r="T32" s="3">
        <v>0.1</v>
      </c>
      <c r="U32" s="2">
        <v>61.52</v>
      </c>
    </row>
    <row r="33" spans="1:21" x14ac:dyDescent="0.35">
      <c r="A33">
        <v>299</v>
      </c>
      <c r="B33" t="s">
        <v>216</v>
      </c>
      <c r="C33" s="1">
        <v>44639</v>
      </c>
      <c r="D33" s="1">
        <v>44642</v>
      </c>
      <c r="E33" t="s">
        <v>22</v>
      </c>
      <c r="F33" t="s">
        <v>217</v>
      </c>
      <c r="G33" t="s">
        <v>53</v>
      </c>
      <c r="H33" t="s">
        <v>54</v>
      </c>
      <c r="I33" t="s">
        <v>26</v>
      </c>
      <c r="J33" t="s">
        <v>82</v>
      </c>
      <c r="K33" t="s">
        <v>82</v>
      </c>
      <c r="L33">
        <v>60906</v>
      </c>
      <c r="M33" t="s">
        <v>28</v>
      </c>
      <c r="N33" t="s">
        <v>218</v>
      </c>
      <c r="O33" t="s">
        <v>41</v>
      </c>
      <c r="P33" t="s">
        <v>151</v>
      </c>
      <c r="Q33" t="s">
        <v>219</v>
      </c>
      <c r="R33" s="2">
        <v>33.450000000000003</v>
      </c>
      <c r="S33">
        <v>3</v>
      </c>
      <c r="T33" s="3">
        <v>0.3</v>
      </c>
      <c r="U33" s="2">
        <v>-7.0000000000000007E-2</v>
      </c>
    </row>
    <row r="34" spans="1:21" x14ac:dyDescent="0.35">
      <c r="A34">
        <v>323</v>
      </c>
      <c r="B34" t="s">
        <v>220</v>
      </c>
      <c r="C34" s="1">
        <v>44645</v>
      </c>
      <c r="D34" s="1">
        <v>44650</v>
      </c>
      <c r="E34" t="s">
        <v>34</v>
      </c>
      <c r="F34" t="s">
        <v>221</v>
      </c>
      <c r="G34" t="s">
        <v>222</v>
      </c>
      <c r="H34" t="s">
        <v>54</v>
      </c>
      <c r="I34" t="s">
        <v>26</v>
      </c>
      <c r="J34" t="s">
        <v>204</v>
      </c>
      <c r="K34" t="s">
        <v>204</v>
      </c>
      <c r="L34">
        <v>96437</v>
      </c>
      <c r="M34" t="s">
        <v>39</v>
      </c>
      <c r="N34" t="s">
        <v>223</v>
      </c>
      <c r="O34" t="s">
        <v>30</v>
      </c>
      <c r="P34" t="s">
        <v>176</v>
      </c>
      <c r="Q34" t="s">
        <v>224</v>
      </c>
      <c r="R34" s="2">
        <v>311.62</v>
      </c>
      <c r="S34">
        <v>7</v>
      </c>
      <c r="T34" s="3">
        <v>0.3</v>
      </c>
      <c r="U34" s="2">
        <v>-22.75</v>
      </c>
    </row>
    <row r="35" spans="1:21" x14ac:dyDescent="0.35">
      <c r="A35">
        <v>397</v>
      </c>
      <c r="B35" t="s">
        <v>225</v>
      </c>
      <c r="C35" s="1">
        <v>44645</v>
      </c>
      <c r="D35" s="1">
        <v>44647</v>
      </c>
      <c r="E35" t="s">
        <v>45</v>
      </c>
      <c r="F35" t="s">
        <v>226</v>
      </c>
      <c r="G35" t="s">
        <v>227</v>
      </c>
      <c r="H35" t="s">
        <v>37</v>
      </c>
      <c r="I35" t="s">
        <v>26</v>
      </c>
      <c r="J35" t="s">
        <v>82</v>
      </c>
      <c r="K35" t="s">
        <v>82</v>
      </c>
      <c r="L35">
        <v>30365</v>
      </c>
      <c r="M35" t="s">
        <v>28</v>
      </c>
      <c r="N35" t="s">
        <v>228</v>
      </c>
      <c r="O35" t="s">
        <v>41</v>
      </c>
      <c r="P35" t="s">
        <v>151</v>
      </c>
      <c r="Q35" t="s">
        <v>229</v>
      </c>
      <c r="R35" s="2">
        <v>16.28</v>
      </c>
      <c r="S35">
        <v>2</v>
      </c>
      <c r="T35" s="3">
        <v>0</v>
      </c>
      <c r="U35" s="2">
        <v>3.72</v>
      </c>
    </row>
    <row r="36" spans="1:21" x14ac:dyDescent="0.35">
      <c r="A36">
        <v>396</v>
      </c>
      <c r="B36" t="s">
        <v>230</v>
      </c>
      <c r="C36" s="1">
        <v>44647</v>
      </c>
      <c r="D36" s="1">
        <v>44648</v>
      </c>
      <c r="E36" t="s">
        <v>45</v>
      </c>
      <c r="F36" t="s">
        <v>231</v>
      </c>
      <c r="G36" t="s">
        <v>232</v>
      </c>
      <c r="H36" t="s">
        <v>54</v>
      </c>
      <c r="I36" t="s">
        <v>26</v>
      </c>
      <c r="J36" t="s">
        <v>233</v>
      </c>
      <c r="K36" t="s">
        <v>233</v>
      </c>
      <c r="L36">
        <v>93569</v>
      </c>
      <c r="M36" t="s">
        <v>65</v>
      </c>
      <c r="N36" t="s">
        <v>234</v>
      </c>
      <c r="O36" t="s">
        <v>30</v>
      </c>
      <c r="P36" t="s">
        <v>176</v>
      </c>
      <c r="Q36" t="s">
        <v>235</v>
      </c>
      <c r="R36" s="2">
        <v>272.83999999999997</v>
      </c>
      <c r="S36">
        <v>3</v>
      </c>
      <c r="T36" s="3">
        <v>0</v>
      </c>
      <c r="U36" s="2">
        <v>40.229999999999997</v>
      </c>
    </row>
    <row r="37" spans="1:21" x14ac:dyDescent="0.35">
      <c r="A37">
        <v>431</v>
      </c>
      <c r="B37" t="s">
        <v>236</v>
      </c>
      <c r="C37" s="1">
        <v>44649</v>
      </c>
      <c r="D37" s="1">
        <v>44650</v>
      </c>
      <c r="E37" t="s">
        <v>34</v>
      </c>
      <c r="F37" t="s">
        <v>237</v>
      </c>
      <c r="G37" t="s">
        <v>238</v>
      </c>
      <c r="H37" t="s">
        <v>37</v>
      </c>
      <c r="I37" t="s">
        <v>26</v>
      </c>
      <c r="J37" t="s">
        <v>27</v>
      </c>
      <c r="K37" t="s">
        <v>27</v>
      </c>
      <c r="L37">
        <v>39377</v>
      </c>
      <c r="M37" t="s">
        <v>28</v>
      </c>
      <c r="N37" t="s">
        <v>239</v>
      </c>
      <c r="O37" t="s">
        <v>58</v>
      </c>
      <c r="P37" t="s">
        <v>112</v>
      </c>
      <c r="Q37" t="s">
        <v>240</v>
      </c>
      <c r="R37" s="2">
        <v>182.35</v>
      </c>
      <c r="S37">
        <v>4</v>
      </c>
      <c r="T37" s="3">
        <v>0</v>
      </c>
      <c r="U37" s="2">
        <v>51.28</v>
      </c>
    </row>
    <row r="38" spans="1:21" x14ac:dyDescent="0.35">
      <c r="A38">
        <v>494</v>
      </c>
      <c r="B38" t="s">
        <v>241</v>
      </c>
      <c r="C38" s="1">
        <v>44650</v>
      </c>
      <c r="D38" s="1">
        <v>44651</v>
      </c>
      <c r="E38" t="s">
        <v>45</v>
      </c>
      <c r="F38" t="s">
        <v>242</v>
      </c>
      <c r="G38" t="s">
        <v>243</v>
      </c>
      <c r="H38" t="s">
        <v>25</v>
      </c>
      <c r="I38" t="s">
        <v>26</v>
      </c>
      <c r="J38" t="s">
        <v>122</v>
      </c>
      <c r="K38" t="s">
        <v>122</v>
      </c>
      <c r="L38">
        <v>15607</v>
      </c>
      <c r="M38" t="s">
        <v>65</v>
      </c>
      <c r="N38" t="s">
        <v>244</v>
      </c>
      <c r="O38" t="s">
        <v>41</v>
      </c>
      <c r="P38" t="s">
        <v>42</v>
      </c>
      <c r="Q38" t="s">
        <v>245</v>
      </c>
      <c r="R38" s="2">
        <v>63.5</v>
      </c>
      <c r="S38">
        <v>1</v>
      </c>
      <c r="T38" s="3">
        <v>0.5</v>
      </c>
      <c r="U38" s="2">
        <v>-7.31</v>
      </c>
    </row>
    <row r="39" spans="1:21" x14ac:dyDescent="0.35">
      <c r="A39">
        <v>496</v>
      </c>
      <c r="B39" t="s">
        <v>246</v>
      </c>
      <c r="C39" s="1">
        <v>44651</v>
      </c>
      <c r="D39" s="1">
        <v>44656</v>
      </c>
      <c r="E39" t="s">
        <v>34</v>
      </c>
      <c r="F39" t="s">
        <v>247</v>
      </c>
      <c r="G39" t="s">
        <v>248</v>
      </c>
      <c r="H39" t="s">
        <v>25</v>
      </c>
      <c r="I39" t="s">
        <v>26</v>
      </c>
      <c r="J39" t="s">
        <v>233</v>
      </c>
      <c r="K39" t="s">
        <v>233</v>
      </c>
      <c r="L39">
        <v>43270</v>
      </c>
      <c r="M39" t="s">
        <v>65</v>
      </c>
      <c r="N39" t="s">
        <v>249</v>
      </c>
      <c r="O39" t="s">
        <v>30</v>
      </c>
      <c r="P39" t="s">
        <v>31</v>
      </c>
      <c r="Q39" t="s">
        <v>250</v>
      </c>
      <c r="R39" s="2">
        <v>92.93</v>
      </c>
      <c r="S39">
        <v>6</v>
      </c>
      <c r="T39" s="3">
        <v>0.15</v>
      </c>
      <c r="U39" s="2">
        <v>11.37</v>
      </c>
    </row>
    <row r="40" spans="1:21" x14ac:dyDescent="0.35">
      <c r="A40">
        <v>244</v>
      </c>
      <c r="B40" t="s">
        <v>251</v>
      </c>
      <c r="C40" s="1">
        <v>44652</v>
      </c>
      <c r="D40" s="1">
        <v>44657</v>
      </c>
      <c r="E40" t="s">
        <v>22</v>
      </c>
      <c r="F40" t="s">
        <v>252</v>
      </c>
      <c r="G40" t="s">
        <v>253</v>
      </c>
      <c r="H40" t="s">
        <v>37</v>
      </c>
      <c r="I40" t="s">
        <v>26</v>
      </c>
      <c r="J40" t="s">
        <v>162</v>
      </c>
      <c r="K40" t="s">
        <v>162</v>
      </c>
      <c r="L40">
        <v>70652</v>
      </c>
      <c r="M40" t="s">
        <v>28</v>
      </c>
      <c r="N40" t="s">
        <v>254</v>
      </c>
      <c r="O40" t="s">
        <v>58</v>
      </c>
      <c r="P40" t="s">
        <v>89</v>
      </c>
      <c r="Q40" t="s">
        <v>255</v>
      </c>
      <c r="R40" s="2">
        <v>531.12</v>
      </c>
      <c r="S40">
        <v>4</v>
      </c>
      <c r="T40" s="3">
        <v>0</v>
      </c>
      <c r="U40" s="2">
        <v>151.9</v>
      </c>
    </row>
    <row r="41" spans="1:21" x14ac:dyDescent="0.35">
      <c r="A41">
        <v>514</v>
      </c>
      <c r="B41" t="s">
        <v>256</v>
      </c>
      <c r="C41" s="1">
        <v>44652</v>
      </c>
      <c r="D41" s="1">
        <v>44655</v>
      </c>
      <c r="E41" t="s">
        <v>22</v>
      </c>
      <c r="F41" t="s">
        <v>257</v>
      </c>
      <c r="G41" t="s">
        <v>258</v>
      </c>
      <c r="H41" t="s">
        <v>25</v>
      </c>
      <c r="I41" t="s">
        <v>26</v>
      </c>
      <c r="J41" t="s">
        <v>168</v>
      </c>
      <c r="K41" t="s">
        <v>168</v>
      </c>
      <c r="L41">
        <v>54721</v>
      </c>
      <c r="M41" t="s">
        <v>28</v>
      </c>
      <c r="N41" t="s">
        <v>259</v>
      </c>
      <c r="O41" t="s">
        <v>41</v>
      </c>
      <c r="P41" t="s">
        <v>106</v>
      </c>
      <c r="Q41" t="s">
        <v>260</v>
      </c>
      <c r="R41" s="2">
        <v>90.27</v>
      </c>
      <c r="S41">
        <v>6</v>
      </c>
      <c r="T41" s="3">
        <v>0.4</v>
      </c>
      <c r="U41" s="2">
        <v>-5.9</v>
      </c>
    </row>
    <row r="42" spans="1:21" x14ac:dyDescent="0.35">
      <c r="A42">
        <v>394</v>
      </c>
      <c r="B42" t="s">
        <v>261</v>
      </c>
      <c r="C42" s="1">
        <v>44664</v>
      </c>
      <c r="D42" s="1">
        <v>44667</v>
      </c>
      <c r="E42" t="s">
        <v>34</v>
      </c>
      <c r="F42" t="s">
        <v>262</v>
      </c>
      <c r="G42" t="s">
        <v>232</v>
      </c>
      <c r="H42" t="s">
        <v>37</v>
      </c>
      <c r="I42" t="s">
        <v>26</v>
      </c>
      <c r="J42" t="s">
        <v>181</v>
      </c>
      <c r="K42" t="s">
        <v>181</v>
      </c>
      <c r="L42">
        <v>94585</v>
      </c>
      <c r="M42" t="s">
        <v>65</v>
      </c>
      <c r="N42" t="s">
        <v>263</v>
      </c>
      <c r="O42" t="s">
        <v>58</v>
      </c>
      <c r="P42" t="s">
        <v>59</v>
      </c>
      <c r="Q42" t="s">
        <v>264</v>
      </c>
      <c r="R42" s="2">
        <v>344.6</v>
      </c>
      <c r="S42">
        <v>2</v>
      </c>
      <c r="T42" s="3">
        <v>0.3</v>
      </c>
      <c r="U42" s="2">
        <v>44.6</v>
      </c>
    </row>
    <row r="43" spans="1:21" x14ac:dyDescent="0.35">
      <c r="A43">
        <v>84</v>
      </c>
      <c r="B43" t="s">
        <v>265</v>
      </c>
      <c r="C43" s="1">
        <v>44667</v>
      </c>
      <c r="D43" s="1">
        <v>44669</v>
      </c>
      <c r="E43" t="s">
        <v>34</v>
      </c>
      <c r="F43" t="s">
        <v>266</v>
      </c>
      <c r="G43" t="s">
        <v>267</v>
      </c>
      <c r="H43" t="s">
        <v>37</v>
      </c>
      <c r="I43" t="s">
        <v>26</v>
      </c>
      <c r="J43" t="s">
        <v>139</v>
      </c>
      <c r="K43" t="s">
        <v>139</v>
      </c>
      <c r="L43">
        <v>36630</v>
      </c>
      <c r="M43" t="s">
        <v>65</v>
      </c>
      <c r="N43" t="s">
        <v>268</v>
      </c>
      <c r="O43" t="s">
        <v>58</v>
      </c>
      <c r="P43" t="s">
        <v>59</v>
      </c>
      <c r="Q43" t="s">
        <v>269</v>
      </c>
      <c r="R43" s="2">
        <v>228.69</v>
      </c>
      <c r="S43">
        <v>2</v>
      </c>
      <c r="T43" s="3">
        <v>0.2</v>
      </c>
      <c r="U43" s="2">
        <v>26.5</v>
      </c>
    </row>
    <row r="44" spans="1:21" x14ac:dyDescent="0.35">
      <c r="A44">
        <v>447</v>
      </c>
      <c r="B44" t="s">
        <v>270</v>
      </c>
      <c r="C44" s="1">
        <v>44667</v>
      </c>
      <c r="D44" s="1">
        <v>44669</v>
      </c>
      <c r="E44" t="s">
        <v>34</v>
      </c>
      <c r="F44" t="s">
        <v>271</v>
      </c>
      <c r="G44" t="s">
        <v>174</v>
      </c>
      <c r="H44" t="s">
        <v>54</v>
      </c>
      <c r="I44" t="s">
        <v>26</v>
      </c>
      <c r="J44" t="s">
        <v>162</v>
      </c>
      <c r="K44" t="s">
        <v>162</v>
      </c>
      <c r="L44">
        <v>64639</v>
      </c>
      <c r="M44" t="s">
        <v>28</v>
      </c>
      <c r="N44" t="s">
        <v>272</v>
      </c>
      <c r="O44" t="s">
        <v>30</v>
      </c>
      <c r="P44" t="s">
        <v>100</v>
      </c>
      <c r="Q44" t="s">
        <v>273</v>
      </c>
      <c r="R44" s="2">
        <v>19.809999999999999</v>
      </c>
      <c r="S44">
        <v>5</v>
      </c>
      <c r="T44" s="3">
        <v>0.3</v>
      </c>
      <c r="U44" s="2">
        <v>-0.35</v>
      </c>
    </row>
    <row r="45" spans="1:21" x14ac:dyDescent="0.35">
      <c r="A45">
        <v>498</v>
      </c>
      <c r="B45" t="s">
        <v>274</v>
      </c>
      <c r="C45" s="1">
        <v>44668</v>
      </c>
      <c r="D45" s="1">
        <v>44672</v>
      </c>
      <c r="E45" t="s">
        <v>34</v>
      </c>
      <c r="F45" t="s">
        <v>275</v>
      </c>
      <c r="G45" t="s">
        <v>276</v>
      </c>
      <c r="H45" t="s">
        <v>25</v>
      </c>
      <c r="I45" t="s">
        <v>26</v>
      </c>
      <c r="J45" t="s">
        <v>277</v>
      </c>
      <c r="K45" t="s">
        <v>277</v>
      </c>
      <c r="L45">
        <v>41153</v>
      </c>
      <c r="M45" t="s">
        <v>56</v>
      </c>
      <c r="N45" t="s">
        <v>278</v>
      </c>
      <c r="O45" t="s">
        <v>30</v>
      </c>
      <c r="P45" t="s">
        <v>100</v>
      </c>
      <c r="Q45" t="s">
        <v>279</v>
      </c>
      <c r="R45" s="2">
        <v>93.84</v>
      </c>
      <c r="S45">
        <v>5</v>
      </c>
      <c r="T45" s="3">
        <v>0</v>
      </c>
      <c r="U45" s="2">
        <v>17.399999999999999</v>
      </c>
    </row>
    <row r="46" spans="1:21" x14ac:dyDescent="0.35">
      <c r="A46">
        <v>311</v>
      </c>
      <c r="B46" t="s">
        <v>280</v>
      </c>
      <c r="C46" s="1">
        <v>44669</v>
      </c>
      <c r="D46" s="1">
        <v>44671</v>
      </c>
      <c r="E46" t="s">
        <v>34</v>
      </c>
      <c r="F46" t="s">
        <v>281</v>
      </c>
      <c r="G46" t="s">
        <v>282</v>
      </c>
      <c r="H46" t="s">
        <v>37</v>
      </c>
      <c r="I46" t="s">
        <v>26</v>
      </c>
      <c r="J46" t="s">
        <v>127</v>
      </c>
      <c r="K46" t="s">
        <v>127</v>
      </c>
      <c r="L46">
        <v>18320</v>
      </c>
      <c r="M46" t="s">
        <v>56</v>
      </c>
      <c r="N46" t="s">
        <v>283</v>
      </c>
      <c r="O46" t="s">
        <v>58</v>
      </c>
      <c r="P46" t="s">
        <v>112</v>
      </c>
      <c r="Q46" t="s">
        <v>284</v>
      </c>
      <c r="R46" s="2">
        <v>98.21</v>
      </c>
      <c r="S46">
        <v>4</v>
      </c>
      <c r="T46" s="3">
        <v>0.3</v>
      </c>
      <c r="U46" s="2">
        <v>8.61</v>
      </c>
    </row>
    <row r="47" spans="1:21" x14ac:dyDescent="0.35">
      <c r="A47">
        <v>268</v>
      </c>
      <c r="B47" t="s">
        <v>285</v>
      </c>
      <c r="C47" s="1">
        <v>44670</v>
      </c>
      <c r="D47" s="1">
        <v>44675</v>
      </c>
      <c r="E47" t="s">
        <v>22</v>
      </c>
      <c r="F47" t="s">
        <v>286</v>
      </c>
      <c r="G47" t="s">
        <v>167</v>
      </c>
      <c r="H47" t="s">
        <v>25</v>
      </c>
      <c r="I47" t="s">
        <v>26</v>
      </c>
      <c r="J47" t="s">
        <v>187</v>
      </c>
      <c r="K47" t="s">
        <v>187</v>
      </c>
      <c r="L47">
        <v>44753</v>
      </c>
      <c r="M47" t="s">
        <v>39</v>
      </c>
      <c r="N47" t="s">
        <v>287</v>
      </c>
      <c r="O47" t="s">
        <v>41</v>
      </c>
      <c r="P47" t="s">
        <v>134</v>
      </c>
      <c r="Q47" t="s">
        <v>288</v>
      </c>
      <c r="R47" s="2">
        <v>52.32</v>
      </c>
      <c r="S47">
        <v>1</v>
      </c>
      <c r="T47" s="3">
        <v>0.15</v>
      </c>
      <c r="U47" s="2">
        <v>7.98</v>
      </c>
    </row>
    <row r="48" spans="1:21" x14ac:dyDescent="0.35">
      <c r="A48">
        <v>285</v>
      </c>
      <c r="B48" t="s">
        <v>289</v>
      </c>
      <c r="C48" s="1">
        <v>44672</v>
      </c>
      <c r="D48" s="1">
        <v>44675</v>
      </c>
      <c r="E48" t="s">
        <v>290</v>
      </c>
      <c r="F48" t="s">
        <v>291</v>
      </c>
      <c r="G48" t="s">
        <v>292</v>
      </c>
      <c r="H48" t="s">
        <v>25</v>
      </c>
      <c r="I48" t="s">
        <v>26</v>
      </c>
      <c r="J48" t="s">
        <v>82</v>
      </c>
      <c r="K48" t="s">
        <v>82</v>
      </c>
      <c r="L48">
        <v>94817</v>
      </c>
      <c r="M48" t="s">
        <v>28</v>
      </c>
      <c r="N48" t="s">
        <v>293</v>
      </c>
      <c r="O48" t="s">
        <v>30</v>
      </c>
      <c r="P48" t="s">
        <v>31</v>
      </c>
      <c r="Q48" t="s">
        <v>294</v>
      </c>
      <c r="R48" s="2">
        <v>220.05</v>
      </c>
      <c r="S48">
        <v>5</v>
      </c>
      <c r="T48" s="3">
        <v>0.05</v>
      </c>
      <c r="U48" s="2">
        <v>26.42</v>
      </c>
    </row>
    <row r="49" spans="1:21" x14ac:dyDescent="0.35">
      <c r="A49">
        <v>39</v>
      </c>
      <c r="B49" t="s">
        <v>295</v>
      </c>
      <c r="C49" s="1">
        <v>44672</v>
      </c>
      <c r="D49" s="1">
        <v>44674</v>
      </c>
      <c r="E49" t="s">
        <v>45</v>
      </c>
      <c r="F49" t="s">
        <v>296</v>
      </c>
      <c r="G49" t="s">
        <v>198</v>
      </c>
      <c r="H49" t="s">
        <v>25</v>
      </c>
      <c r="I49" t="s">
        <v>26</v>
      </c>
      <c r="J49" t="s">
        <v>38</v>
      </c>
      <c r="K49" t="s">
        <v>38</v>
      </c>
      <c r="L49">
        <v>33954</v>
      </c>
      <c r="M49" t="s">
        <v>39</v>
      </c>
      <c r="N49" t="s">
        <v>297</v>
      </c>
      <c r="O49" t="s">
        <v>41</v>
      </c>
      <c r="P49" t="s">
        <v>134</v>
      </c>
      <c r="Q49" t="s">
        <v>298</v>
      </c>
      <c r="R49" s="2">
        <v>42.89</v>
      </c>
      <c r="S49">
        <v>3</v>
      </c>
      <c r="T49" s="3">
        <v>0.3</v>
      </c>
      <c r="U49" s="2">
        <v>0.05</v>
      </c>
    </row>
    <row r="50" spans="1:21" x14ac:dyDescent="0.35">
      <c r="A50">
        <v>186</v>
      </c>
      <c r="B50" t="s">
        <v>299</v>
      </c>
      <c r="C50" s="1">
        <v>44673</v>
      </c>
      <c r="D50" s="1">
        <v>44678</v>
      </c>
      <c r="E50" t="s">
        <v>22</v>
      </c>
      <c r="F50" t="s">
        <v>300</v>
      </c>
      <c r="G50" t="s">
        <v>301</v>
      </c>
      <c r="H50" t="s">
        <v>25</v>
      </c>
      <c r="I50" t="s">
        <v>26</v>
      </c>
      <c r="J50" t="s">
        <v>168</v>
      </c>
      <c r="K50" t="s">
        <v>168</v>
      </c>
      <c r="L50">
        <v>87801</v>
      </c>
      <c r="M50" t="s">
        <v>28</v>
      </c>
      <c r="N50" t="s">
        <v>302</v>
      </c>
      <c r="O50" t="s">
        <v>41</v>
      </c>
      <c r="P50" t="s">
        <v>134</v>
      </c>
      <c r="Q50" t="s">
        <v>303</v>
      </c>
      <c r="R50" s="2">
        <v>122.22</v>
      </c>
      <c r="S50">
        <v>7</v>
      </c>
      <c r="T50" s="3">
        <v>0.3</v>
      </c>
      <c r="U50" s="2">
        <v>-3.85</v>
      </c>
    </row>
    <row r="51" spans="1:21" x14ac:dyDescent="0.35">
      <c r="A51">
        <v>274</v>
      </c>
      <c r="B51" t="s">
        <v>304</v>
      </c>
      <c r="C51" s="1">
        <v>44677</v>
      </c>
      <c r="D51" s="1">
        <v>44681</v>
      </c>
      <c r="E51" t="s">
        <v>34</v>
      </c>
      <c r="F51" t="s">
        <v>305</v>
      </c>
      <c r="G51" t="s">
        <v>110</v>
      </c>
      <c r="H51" t="s">
        <v>25</v>
      </c>
      <c r="I51" t="s">
        <v>26</v>
      </c>
      <c r="J51" t="s">
        <v>48</v>
      </c>
      <c r="K51" t="s">
        <v>48</v>
      </c>
      <c r="L51">
        <v>56546</v>
      </c>
      <c r="M51" t="s">
        <v>39</v>
      </c>
      <c r="N51" t="s">
        <v>306</v>
      </c>
      <c r="O51" t="s">
        <v>58</v>
      </c>
      <c r="P51" t="s">
        <v>307</v>
      </c>
      <c r="Q51" t="s">
        <v>308</v>
      </c>
      <c r="R51" s="2">
        <v>194.12</v>
      </c>
      <c r="S51">
        <v>7</v>
      </c>
      <c r="T51" s="3">
        <v>0.1</v>
      </c>
      <c r="U51" s="2">
        <v>18.98</v>
      </c>
    </row>
    <row r="52" spans="1:21" x14ac:dyDescent="0.35">
      <c r="A52">
        <v>54</v>
      </c>
      <c r="B52" t="s">
        <v>309</v>
      </c>
      <c r="C52" s="1">
        <v>44678</v>
      </c>
      <c r="D52" s="1">
        <v>44681</v>
      </c>
      <c r="E52" t="s">
        <v>22</v>
      </c>
      <c r="F52" t="s">
        <v>310</v>
      </c>
      <c r="G52" t="s">
        <v>311</v>
      </c>
      <c r="H52" t="s">
        <v>54</v>
      </c>
      <c r="I52" t="s">
        <v>26</v>
      </c>
      <c r="J52" t="s">
        <v>193</v>
      </c>
      <c r="K52" t="s">
        <v>193</v>
      </c>
      <c r="L52">
        <v>77526</v>
      </c>
      <c r="M52" t="s">
        <v>39</v>
      </c>
      <c r="N52" t="s">
        <v>312</v>
      </c>
      <c r="O52" t="s">
        <v>41</v>
      </c>
      <c r="P52" t="s">
        <v>170</v>
      </c>
      <c r="Q52" t="s">
        <v>313</v>
      </c>
      <c r="R52" s="2">
        <v>167.12</v>
      </c>
      <c r="S52">
        <v>3</v>
      </c>
      <c r="T52" s="3">
        <v>0.15</v>
      </c>
      <c r="U52" s="2">
        <v>13.51</v>
      </c>
    </row>
    <row r="53" spans="1:21" x14ac:dyDescent="0.35">
      <c r="A53">
        <v>174</v>
      </c>
      <c r="B53" t="s">
        <v>314</v>
      </c>
      <c r="C53" s="1">
        <v>44680</v>
      </c>
      <c r="D53" s="1">
        <v>44684</v>
      </c>
      <c r="E53" t="s">
        <v>34</v>
      </c>
      <c r="F53" t="s">
        <v>315</v>
      </c>
      <c r="G53" t="s">
        <v>316</v>
      </c>
      <c r="H53" t="s">
        <v>54</v>
      </c>
      <c r="I53" t="s">
        <v>26</v>
      </c>
      <c r="J53" t="s">
        <v>187</v>
      </c>
      <c r="K53" t="s">
        <v>187</v>
      </c>
      <c r="L53">
        <v>65350</v>
      </c>
      <c r="M53" t="s">
        <v>39</v>
      </c>
      <c r="N53" t="s">
        <v>317</v>
      </c>
      <c r="O53" t="s">
        <v>30</v>
      </c>
      <c r="P53" t="s">
        <v>100</v>
      </c>
      <c r="Q53" t="s">
        <v>318</v>
      </c>
      <c r="R53" s="2">
        <v>207.8</v>
      </c>
      <c r="S53">
        <v>7</v>
      </c>
      <c r="T53" s="3">
        <v>0.3</v>
      </c>
      <c r="U53" s="2">
        <v>-19.93</v>
      </c>
    </row>
    <row r="54" spans="1:21" x14ac:dyDescent="0.35">
      <c r="A54">
        <v>11</v>
      </c>
      <c r="B54" t="s">
        <v>319</v>
      </c>
      <c r="C54" s="1">
        <v>44684</v>
      </c>
      <c r="D54" s="1">
        <v>44686</v>
      </c>
      <c r="E54" t="s">
        <v>34</v>
      </c>
      <c r="F54" t="s">
        <v>320</v>
      </c>
      <c r="G54" t="s">
        <v>321</v>
      </c>
      <c r="H54" t="s">
        <v>54</v>
      </c>
      <c r="I54" t="s">
        <v>26</v>
      </c>
      <c r="J54" t="s">
        <v>55</v>
      </c>
      <c r="K54" t="s">
        <v>55</v>
      </c>
      <c r="L54">
        <v>44754</v>
      </c>
      <c r="M54" t="s">
        <v>56</v>
      </c>
      <c r="N54" t="s">
        <v>322</v>
      </c>
      <c r="O54" t="s">
        <v>41</v>
      </c>
      <c r="P54" t="s">
        <v>73</v>
      </c>
      <c r="Q54" t="s">
        <v>323</v>
      </c>
      <c r="R54" s="2">
        <v>62.75</v>
      </c>
      <c r="S54">
        <v>3</v>
      </c>
      <c r="T54" s="3">
        <v>0.05</v>
      </c>
      <c r="U54" s="2">
        <v>12.67</v>
      </c>
    </row>
    <row r="55" spans="1:21" x14ac:dyDescent="0.35">
      <c r="A55">
        <v>140</v>
      </c>
      <c r="B55" t="s">
        <v>324</v>
      </c>
      <c r="C55" s="1">
        <v>44685</v>
      </c>
      <c r="D55" s="1">
        <v>44691</v>
      </c>
      <c r="E55" t="s">
        <v>22</v>
      </c>
      <c r="F55" t="s">
        <v>325</v>
      </c>
      <c r="G55" t="s">
        <v>326</v>
      </c>
      <c r="H55" t="s">
        <v>25</v>
      </c>
      <c r="I55" t="s">
        <v>26</v>
      </c>
      <c r="J55" t="s">
        <v>187</v>
      </c>
      <c r="K55" t="s">
        <v>187</v>
      </c>
      <c r="L55">
        <v>60939</v>
      </c>
      <c r="M55" t="s">
        <v>39</v>
      </c>
      <c r="N55" t="s">
        <v>327</v>
      </c>
      <c r="O55" t="s">
        <v>30</v>
      </c>
      <c r="P55" t="s">
        <v>176</v>
      </c>
      <c r="Q55" t="s">
        <v>328</v>
      </c>
      <c r="R55" s="2">
        <v>86.77</v>
      </c>
      <c r="S55">
        <v>5</v>
      </c>
      <c r="T55" s="3">
        <v>0.1</v>
      </c>
      <c r="U55" s="2">
        <v>7.41</v>
      </c>
    </row>
    <row r="56" spans="1:21" x14ac:dyDescent="0.35">
      <c r="A56">
        <v>156</v>
      </c>
      <c r="B56" t="s">
        <v>329</v>
      </c>
      <c r="C56" s="1">
        <v>44686</v>
      </c>
      <c r="D56" s="1">
        <v>44689</v>
      </c>
      <c r="E56" t="s">
        <v>45</v>
      </c>
      <c r="F56" t="s">
        <v>330</v>
      </c>
      <c r="G56" t="s">
        <v>167</v>
      </c>
      <c r="H56" t="s">
        <v>37</v>
      </c>
      <c r="I56" t="s">
        <v>26</v>
      </c>
      <c r="J56" t="s">
        <v>331</v>
      </c>
      <c r="K56" t="s">
        <v>331</v>
      </c>
      <c r="L56">
        <v>37716</v>
      </c>
      <c r="M56" t="s">
        <v>28</v>
      </c>
      <c r="N56" t="s">
        <v>332</v>
      </c>
      <c r="O56" t="s">
        <v>41</v>
      </c>
      <c r="P56" t="s">
        <v>151</v>
      </c>
      <c r="Q56" t="s">
        <v>333</v>
      </c>
      <c r="R56" s="2">
        <v>16.239999999999998</v>
      </c>
      <c r="S56">
        <v>3</v>
      </c>
      <c r="T56" s="3">
        <v>0.5</v>
      </c>
      <c r="U56" s="2">
        <v>-3.72</v>
      </c>
    </row>
    <row r="57" spans="1:21" x14ac:dyDescent="0.35">
      <c r="A57">
        <v>92</v>
      </c>
      <c r="B57" t="s">
        <v>334</v>
      </c>
      <c r="C57" s="1">
        <v>44687</v>
      </c>
      <c r="D57" s="1">
        <v>44693</v>
      </c>
      <c r="E57" t="s">
        <v>34</v>
      </c>
      <c r="F57" t="s">
        <v>335</v>
      </c>
      <c r="G57" t="s">
        <v>336</v>
      </c>
      <c r="H57" t="s">
        <v>25</v>
      </c>
      <c r="I57" t="s">
        <v>26</v>
      </c>
      <c r="J57" t="s">
        <v>71</v>
      </c>
      <c r="K57" t="s">
        <v>71</v>
      </c>
      <c r="L57">
        <v>14470</v>
      </c>
      <c r="M57" t="s">
        <v>56</v>
      </c>
      <c r="N57" t="s">
        <v>83</v>
      </c>
      <c r="O57" t="s">
        <v>58</v>
      </c>
      <c r="P57" t="s">
        <v>307</v>
      </c>
      <c r="Q57" t="s">
        <v>337</v>
      </c>
      <c r="R57" s="2">
        <v>296.97000000000003</v>
      </c>
      <c r="S57">
        <v>6</v>
      </c>
      <c r="T57" s="3">
        <v>0.1</v>
      </c>
      <c r="U57" s="2">
        <v>34.46</v>
      </c>
    </row>
    <row r="58" spans="1:21" x14ac:dyDescent="0.35">
      <c r="A58">
        <v>93</v>
      </c>
      <c r="B58" t="s">
        <v>338</v>
      </c>
      <c r="C58" s="1">
        <v>44690</v>
      </c>
      <c r="D58" s="1">
        <v>44694</v>
      </c>
      <c r="E58" t="s">
        <v>34</v>
      </c>
      <c r="F58" t="s">
        <v>339</v>
      </c>
      <c r="G58" t="s">
        <v>340</v>
      </c>
      <c r="H58" t="s">
        <v>54</v>
      </c>
      <c r="I58" t="s">
        <v>26</v>
      </c>
      <c r="J58" t="s">
        <v>139</v>
      </c>
      <c r="K58" t="s">
        <v>139</v>
      </c>
      <c r="L58">
        <v>47208</v>
      </c>
      <c r="M58" t="s">
        <v>65</v>
      </c>
      <c r="N58" t="s">
        <v>341</v>
      </c>
      <c r="O58" t="s">
        <v>41</v>
      </c>
      <c r="P58" t="s">
        <v>42</v>
      </c>
      <c r="Q58" t="s">
        <v>342</v>
      </c>
      <c r="R58" s="2">
        <v>61.64</v>
      </c>
      <c r="S58">
        <v>7</v>
      </c>
      <c r="T58" s="3">
        <v>0.15</v>
      </c>
      <c r="U58" s="2">
        <v>13.72</v>
      </c>
    </row>
    <row r="59" spans="1:21" x14ac:dyDescent="0.35">
      <c r="A59">
        <v>479</v>
      </c>
      <c r="B59" t="s">
        <v>343</v>
      </c>
      <c r="C59" s="1">
        <v>44690</v>
      </c>
      <c r="D59" s="1">
        <v>44693</v>
      </c>
      <c r="E59" t="s">
        <v>22</v>
      </c>
      <c r="F59" t="s">
        <v>344</v>
      </c>
      <c r="G59" t="s">
        <v>345</v>
      </c>
      <c r="H59" t="s">
        <v>25</v>
      </c>
      <c r="I59" t="s">
        <v>26</v>
      </c>
      <c r="J59" t="s">
        <v>122</v>
      </c>
      <c r="K59" t="s">
        <v>122</v>
      </c>
      <c r="L59">
        <v>82936</v>
      </c>
      <c r="M59" t="s">
        <v>65</v>
      </c>
      <c r="N59" t="s">
        <v>169</v>
      </c>
      <c r="O59" t="s">
        <v>41</v>
      </c>
      <c r="P59" t="s">
        <v>134</v>
      </c>
      <c r="Q59" t="s">
        <v>346</v>
      </c>
      <c r="R59" s="2">
        <v>51.18</v>
      </c>
      <c r="S59">
        <v>1</v>
      </c>
      <c r="T59" s="3">
        <v>0.1</v>
      </c>
      <c r="U59" s="2">
        <v>12.16</v>
      </c>
    </row>
    <row r="60" spans="1:21" x14ac:dyDescent="0.35">
      <c r="A60">
        <v>262</v>
      </c>
      <c r="B60" t="s">
        <v>347</v>
      </c>
      <c r="C60" s="1">
        <v>44691</v>
      </c>
      <c r="D60" s="1">
        <v>44694</v>
      </c>
      <c r="E60" t="s">
        <v>34</v>
      </c>
      <c r="F60" t="s">
        <v>348</v>
      </c>
      <c r="G60" t="s">
        <v>349</v>
      </c>
      <c r="H60" t="s">
        <v>25</v>
      </c>
      <c r="I60" t="s">
        <v>26</v>
      </c>
      <c r="J60" t="s">
        <v>331</v>
      </c>
      <c r="K60" t="s">
        <v>331</v>
      </c>
      <c r="L60">
        <v>58899</v>
      </c>
      <c r="M60" t="s">
        <v>28</v>
      </c>
      <c r="N60" t="s">
        <v>350</v>
      </c>
      <c r="O60" t="s">
        <v>41</v>
      </c>
      <c r="P60" t="s">
        <v>151</v>
      </c>
      <c r="Q60" t="s">
        <v>351</v>
      </c>
      <c r="R60" s="2">
        <v>103.31</v>
      </c>
      <c r="S60">
        <v>5</v>
      </c>
      <c r="T60" s="3">
        <v>0.3</v>
      </c>
      <c r="U60" s="2">
        <v>2.0499999999999998</v>
      </c>
    </row>
    <row r="61" spans="1:21" x14ac:dyDescent="0.35">
      <c r="A61">
        <v>89</v>
      </c>
      <c r="B61" t="s">
        <v>352</v>
      </c>
      <c r="C61" s="1">
        <v>44691</v>
      </c>
      <c r="D61" s="1">
        <v>44693</v>
      </c>
      <c r="E61" t="s">
        <v>22</v>
      </c>
      <c r="F61" t="s">
        <v>353</v>
      </c>
      <c r="G61" t="s">
        <v>354</v>
      </c>
      <c r="H61" t="s">
        <v>25</v>
      </c>
      <c r="I61" t="s">
        <v>26</v>
      </c>
      <c r="J61" t="s">
        <v>122</v>
      </c>
      <c r="K61" t="s">
        <v>122</v>
      </c>
      <c r="L61">
        <v>62233</v>
      </c>
      <c r="M61" t="s">
        <v>65</v>
      </c>
      <c r="N61" t="s">
        <v>355</v>
      </c>
      <c r="O61" t="s">
        <v>41</v>
      </c>
      <c r="P61" t="s">
        <v>170</v>
      </c>
      <c r="Q61" t="s">
        <v>356</v>
      </c>
      <c r="R61" s="2">
        <v>131.63999999999999</v>
      </c>
      <c r="S61">
        <v>5</v>
      </c>
      <c r="T61" s="3">
        <v>0.05</v>
      </c>
      <c r="U61" s="2">
        <v>23.12</v>
      </c>
    </row>
    <row r="62" spans="1:21" x14ac:dyDescent="0.35">
      <c r="A62">
        <v>315</v>
      </c>
      <c r="B62" t="s">
        <v>357</v>
      </c>
      <c r="C62" s="1">
        <v>44691</v>
      </c>
      <c r="D62" s="1">
        <v>44694</v>
      </c>
      <c r="E62" t="s">
        <v>34</v>
      </c>
      <c r="F62" t="s">
        <v>358</v>
      </c>
      <c r="G62" t="s">
        <v>359</v>
      </c>
      <c r="H62" t="s">
        <v>25</v>
      </c>
      <c r="I62" t="s">
        <v>26</v>
      </c>
      <c r="J62" t="s">
        <v>71</v>
      </c>
      <c r="K62" t="s">
        <v>71</v>
      </c>
      <c r="L62">
        <v>42167</v>
      </c>
      <c r="M62" t="s">
        <v>56</v>
      </c>
      <c r="N62" t="s">
        <v>360</v>
      </c>
      <c r="O62" t="s">
        <v>58</v>
      </c>
      <c r="P62" t="s">
        <v>307</v>
      </c>
      <c r="Q62" t="s">
        <v>361</v>
      </c>
      <c r="R62" s="2">
        <v>163.93</v>
      </c>
      <c r="S62">
        <v>3</v>
      </c>
      <c r="T62" s="3">
        <v>0</v>
      </c>
      <c r="U62" s="2">
        <v>45.6</v>
      </c>
    </row>
    <row r="63" spans="1:21" x14ac:dyDescent="0.35">
      <c r="A63">
        <v>51</v>
      </c>
      <c r="B63" t="s">
        <v>362</v>
      </c>
      <c r="C63" s="1">
        <v>44691</v>
      </c>
      <c r="D63" s="1">
        <v>44692</v>
      </c>
      <c r="E63" t="s">
        <v>45</v>
      </c>
      <c r="F63" t="s">
        <v>363</v>
      </c>
      <c r="G63" t="s">
        <v>364</v>
      </c>
      <c r="H63" t="s">
        <v>37</v>
      </c>
      <c r="I63" t="s">
        <v>26</v>
      </c>
      <c r="J63" t="s">
        <v>38</v>
      </c>
      <c r="K63" t="s">
        <v>38</v>
      </c>
      <c r="L63">
        <v>12443</v>
      </c>
      <c r="M63" t="s">
        <v>39</v>
      </c>
      <c r="N63" t="s">
        <v>365</v>
      </c>
      <c r="O63" t="s">
        <v>41</v>
      </c>
      <c r="P63" t="s">
        <v>73</v>
      </c>
      <c r="Q63" t="s">
        <v>366</v>
      </c>
      <c r="R63" s="2">
        <v>272.44</v>
      </c>
      <c r="S63">
        <v>2</v>
      </c>
      <c r="T63" s="3">
        <v>0.1</v>
      </c>
      <c r="U63" s="2">
        <v>30.43</v>
      </c>
    </row>
    <row r="64" spans="1:21" x14ac:dyDescent="0.35">
      <c r="A64">
        <v>146</v>
      </c>
      <c r="B64" t="s">
        <v>367</v>
      </c>
      <c r="C64" s="1">
        <v>44693</v>
      </c>
      <c r="D64" s="1">
        <v>44697</v>
      </c>
      <c r="E64" t="s">
        <v>290</v>
      </c>
      <c r="F64" t="s">
        <v>368</v>
      </c>
      <c r="G64" t="s">
        <v>369</v>
      </c>
      <c r="H64" t="s">
        <v>37</v>
      </c>
      <c r="I64" t="s">
        <v>26</v>
      </c>
      <c r="J64" t="s">
        <v>27</v>
      </c>
      <c r="K64" t="s">
        <v>27</v>
      </c>
      <c r="L64">
        <v>38933</v>
      </c>
      <c r="M64" t="s">
        <v>28</v>
      </c>
      <c r="N64" t="s">
        <v>370</v>
      </c>
      <c r="O64" t="s">
        <v>30</v>
      </c>
      <c r="P64" t="s">
        <v>157</v>
      </c>
      <c r="Q64" t="s">
        <v>371</v>
      </c>
      <c r="R64" s="2">
        <v>288</v>
      </c>
      <c r="S64">
        <v>2</v>
      </c>
      <c r="T64" s="3">
        <v>0.15</v>
      </c>
      <c r="U64" s="2">
        <v>23.99</v>
      </c>
    </row>
    <row r="65" spans="1:21" x14ac:dyDescent="0.35">
      <c r="A65">
        <v>556</v>
      </c>
      <c r="B65" t="s">
        <v>372</v>
      </c>
      <c r="C65" s="1">
        <v>44693</v>
      </c>
      <c r="D65" s="1">
        <v>44695</v>
      </c>
      <c r="E65" t="s">
        <v>45</v>
      </c>
      <c r="F65" t="s">
        <v>373</v>
      </c>
      <c r="G65" t="s">
        <v>155</v>
      </c>
      <c r="H65" t="s">
        <v>54</v>
      </c>
      <c r="I65" t="s">
        <v>26</v>
      </c>
      <c r="J65" t="s">
        <v>181</v>
      </c>
      <c r="K65" t="s">
        <v>181</v>
      </c>
      <c r="L65">
        <v>69254</v>
      </c>
      <c r="M65" t="s">
        <v>65</v>
      </c>
      <c r="N65" t="s">
        <v>374</v>
      </c>
      <c r="O65" t="s">
        <v>41</v>
      </c>
      <c r="P65" t="s">
        <v>42</v>
      </c>
      <c r="Q65" t="s">
        <v>375</v>
      </c>
      <c r="R65" s="2">
        <v>38</v>
      </c>
      <c r="S65">
        <v>4</v>
      </c>
      <c r="T65" s="3">
        <v>0.15</v>
      </c>
      <c r="U65" s="2">
        <v>4.03</v>
      </c>
    </row>
    <row r="66" spans="1:21" x14ac:dyDescent="0.35">
      <c r="A66">
        <v>357</v>
      </c>
      <c r="B66" t="s">
        <v>376</v>
      </c>
      <c r="C66" s="1">
        <v>44694</v>
      </c>
      <c r="D66" s="1">
        <v>44695</v>
      </c>
      <c r="E66" t="s">
        <v>34</v>
      </c>
      <c r="F66" t="s">
        <v>377</v>
      </c>
      <c r="G66" t="s">
        <v>378</v>
      </c>
      <c r="H66" t="s">
        <v>25</v>
      </c>
      <c r="I66" t="s">
        <v>26</v>
      </c>
      <c r="J66" t="s">
        <v>71</v>
      </c>
      <c r="K66" t="s">
        <v>71</v>
      </c>
      <c r="L66">
        <v>42930</v>
      </c>
      <c r="M66" t="s">
        <v>56</v>
      </c>
      <c r="N66" t="s">
        <v>77</v>
      </c>
      <c r="O66" t="s">
        <v>30</v>
      </c>
      <c r="P66" t="s">
        <v>31</v>
      </c>
      <c r="Q66" t="s">
        <v>379</v>
      </c>
      <c r="R66" s="2">
        <v>208.07</v>
      </c>
      <c r="S66">
        <v>3</v>
      </c>
      <c r="T66" s="3">
        <v>0.2</v>
      </c>
      <c r="U66" s="2">
        <v>0.52</v>
      </c>
    </row>
    <row r="67" spans="1:21" x14ac:dyDescent="0.35">
      <c r="A67">
        <v>380</v>
      </c>
      <c r="B67" t="s">
        <v>380</v>
      </c>
      <c r="C67" s="1">
        <v>44694</v>
      </c>
      <c r="D67" s="1">
        <v>44696</v>
      </c>
      <c r="E67" t="s">
        <v>34</v>
      </c>
      <c r="F67" t="s">
        <v>381</v>
      </c>
      <c r="G67" t="s">
        <v>382</v>
      </c>
      <c r="H67" t="s">
        <v>25</v>
      </c>
      <c r="I67" t="s">
        <v>26</v>
      </c>
      <c r="J67" t="s">
        <v>181</v>
      </c>
      <c r="K67" t="s">
        <v>181</v>
      </c>
      <c r="L67">
        <v>44160</v>
      </c>
      <c r="M67" t="s">
        <v>65</v>
      </c>
      <c r="N67" t="s">
        <v>383</v>
      </c>
      <c r="O67" t="s">
        <v>30</v>
      </c>
      <c r="P67" t="s">
        <v>176</v>
      </c>
      <c r="Q67" t="s">
        <v>384</v>
      </c>
      <c r="R67" s="2">
        <v>108.45</v>
      </c>
      <c r="S67">
        <v>2</v>
      </c>
      <c r="T67" s="3">
        <v>0.1</v>
      </c>
      <c r="U67" s="2">
        <v>11.89</v>
      </c>
    </row>
    <row r="68" spans="1:21" x14ac:dyDescent="0.35">
      <c r="A68">
        <v>241</v>
      </c>
      <c r="B68" t="s">
        <v>385</v>
      </c>
      <c r="C68" s="1">
        <v>44698</v>
      </c>
      <c r="D68" s="1">
        <v>44700</v>
      </c>
      <c r="E68" t="s">
        <v>22</v>
      </c>
      <c r="F68" t="s">
        <v>386</v>
      </c>
      <c r="G68" t="s">
        <v>387</v>
      </c>
      <c r="H68" t="s">
        <v>25</v>
      </c>
      <c r="I68" t="s">
        <v>26</v>
      </c>
      <c r="J68" t="s">
        <v>82</v>
      </c>
      <c r="K68" t="s">
        <v>82</v>
      </c>
      <c r="L68">
        <v>97234</v>
      </c>
      <c r="M68" t="s">
        <v>28</v>
      </c>
      <c r="N68" t="s">
        <v>388</v>
      </c>
      <c r="O68" t="s">
        <v>41</v>
      </c>
      <c r="P68" t="s">
        <v>151</v>
      </c>
      <c r="Q68" t="s">
        <v>389</v>
      </c>
      <c r="R68" s="2">
        <v>64.42</v>
      </c>
      <c r="S68">
        <v>6</v>
      </c>
      <c r="T68" s="3">
        <v>0</v>
      </c>
      <c r="U68" s="2">
        <v>14.62</v>
      </c>
    </row>
    <row r="69" spans="1:21" x14ac:dyDescent="0.35">
      <c r="A69">
        <v>107</v>
      </c>
      <c r="B69" t="s">
        <v>390</v>
      </c>
      <c r="C69" s="1">
        <v>44704</v>
      </c>
      <c r="D69" s="1">
        <v>44710</v>
      </c>
      <c r="E69" t="s">
        <v>34</v>
      </c>
      <c r="F69" t="s">
        <v>391</v>
      </c>
      <c r="G69" t="s">
        <v>392</v>
      </c>
      <c r="H69" t="s">
        <v>54</v>
      </c>
      <c r="I69" t="s">
        <v>26</v>
      </c>
      <c r="J69" t="s">
        <v>181</v>
      </c>
      <c r="K69" t="s">
        <v>181</v>
      </c>
      <c r="L69">
        <v>88222</v>
      </c>
      <c r="M69" t="s">
        <v>65</v>
      </c>
      <c r="N69" t="s">
        <v>117</v>
      </c>
      <c r="O69" t="s">
        <v>41</v>
      </c>
      <c r="P69" t="s">
        <v>73</v>
      </c>
      <c r="Q69" t="s">
        <v>393</v>
      </c>
      <c r="R69" s="2">
        <v>162.31</v>
      </c>
      <c r="S69">
        <v>6</v>
      </c>
      <c r="T69" s="3">
        <v>0.3</v>
      </c>
      <c r="U69" s="2">
        <v>11.16</v>
      </c>
    </row>
    <row r="70" spans="1:21" x14ac:dyDescent="0.35">
      <c r="A70">
        <v>443</v>
      </c>
      <c r="B70" t="s">
        <v>394</v>
      </c>
      <c r="C70" s="1">
        <v>44705</v>
      </c>
      <c r="D70" s="1">
        <v>44707</v>
      </c>
      <c r="E70" t="s">
        <v>34</v>
      </c>
      <c r="F70" t="s">
        <v>395</v>
      </c>
      <c r="G70" t="s">
        <v>282</v>
      </c>
      <c r="H70" t="s">
        <v>37</v>
      </c>
      <c r="I70" t="s">
        <v>26</v>
      </c>
      <c r="J70" t="s">
        <v>181</v>
      </c>
      <c r="K70" t="s">
        <v>181</v>
      </c>
      <c r="L70">
        <v>69072</v>
      </c>
      <c r="M70" t="s">
        <v>65</v>
      </c>
      <c r="N70" t="s">
        <v>396</v>
      </c>
      <c r="O70" t="s">
        <v>41</v>
      </c>
      <c r="P70" t="s">
        <v>42</v>
      </c>
      <c r="Q70" t="s">
        <v>50</v>
      </c>
      <c r="R70" s="2">
        <v>53.84</v>
      </c>
      <c r="S70">
        <v>6</v>
      </c>
      <c r="T70" s="3">
        <v>0.3</v>
      </c>
      <c r="U70" s="2">
        <v>3.79</v>
      </c>
    </row>
    <row r="71" spans="1:21" x14ac:dyDescent="0.35">
      <c r="A71">
        <v>442</v>
      </c>
      <c r="B71" t="s">
        <v>397</v>
      </c>
      <c r="C71" s="1">
        <v>44706</v>
      </c>
      <c r="D71" s="1">
        <v>44710</v>
      </c>
      <c r="E71" t="s">
        <v>45</v>
      </c>
      <c r="F71" t="s">
        <v>398</v>
      </c>
      <c r="G71" t="s">
        <v>70</v>
      </c>
      <c r="H71" t="s">
        <v>25</v>
      </c>
      <c r="I71" t="s">
        <v>26</v>
      </c>
      <c r="J71" t="s">
        <v>48</v>
      </c>
      <c r="K71" t="s">
        <v>48</v>
      </c>
      <c r="L71">
        <v>88894</v>
      </c>
      <c r="M71" t="s">
        <v>39</v>
      </c>
      <c r="N71" t="s">
        <v>399</v>
      </c>
      <c r="O71" t="s">
        <v>30</v>
      </c>
      <c r="P71" t="s">
        <v>176</v>
      </c>
      <c r="Q71" t="s">
        <v>177</v>
      </c>
      <c r="R71" s="2">
        <v>90.47</v>
      </c>
      <c r="S71">
        <v>3</v>
      </c>
      <c r="T71" s="3">
        <v>0.3</v>
      </c>
      <c r="U71" s="2">
        <v>-6.44</v>
      </c>
    </row>
    <row r="72" spans="1:21" x14ac:dyDescent="0.35">
      <c r="A72">
        <v>243</v>
      </c>
      <c r="B72" t="s">
        <v>400</v>
      </c>
      <c r="C72" s="1">
        <v>44710</v>
      </c>
      <c r="D72" s="1">
        <v>44713</v>
      </c>
      <c r="E72" t="s">
        <v>34</v>
      </c>
      <c r="F72" t="s">
        <v>401</v>
      </c>
      <c r="G72" t="s">
        <v>402</v>
      </c>
      <c r="H72" t="s">
        <v>37</v>
      </c>
      <c r="I72" t="s">
        <v>26</v>
      </c>
      <c r="J72" t="s">
        <v>122</v>
      </c>
      <c r="K72" t="s">
        <v>122</v>
      </c>
      <c r="L72">
        <v>66683</v>
      </c>
      <c r="M72" t="s">
        <v>65</v>
      </c>
      <c r="N72" t="s">
        <v>403</v>
      </c>
      <c r="O72" t="s">
        <v>58</v>
      </c>
      <c r="P72" t="s">
        <v>59</v>
      </c>
      <c r="Q72" t="s">
        <v>404</v>
      </c>
      <c r="R72" s="2">
        <v>169.95</v>
      </c>
      <c r="S72">
        <v>2</v>
      </c>
      <c r="T72" s="3">
        <v>0</v>
      </c>
      <c r="U72" s="2">
        <v>56.07</v>
      </c>
    </row>
    <row r="73" spans="1:21" x14ac:dyDescent="0.35">
      <c r="A73">
        <v>425</v>
      </c>
      <c r="B73" t="s">
        <v>405</v>
      </c>
      <c r="C73" s="1">
        <v>44710</v>
      </c>
      <c r="D73" s="1">
        <v>44716</v>
      </c>
      <c r="E73" t="s">
        <v>22</v>
      </c>
      <c r="F73" t="s">
        <v>406</v>
      </c>
      <c r="G73" t="s">
        <v>364</v>
      </c>
      <c r="H73" t="s">
        <v>25</v>
      </c>
      <c r="I73" t="s">
        <v>26</v>
      </c>
      <c r="J73" t="s">
        <v>127</v>
      </c>
      <c r="K73" t="s">
        <v>127</v>
      </c>
      <c r="L73">
        <v>16256</v>
      </c>
      <c r="M73" t="s">
        <v>56</v>
      </c>
      <c r="N73" t="s">
        <v>407</v>
      </c>
      <c r="O73" t="s">
        <v>58</v>
      </c>
      <c r="P73" t="s">
        <v>89</v>
      </c>
      <c r="Q73" t="s">
        <v>408</v>
      </c>
      <c r="R73" s="2">
        <v>451.86</v>
      </c>
      <c r="S73">
        <v>1</v>
      </c>
      <c r="T73" s="3">
        <v>0.4</v>
      </c>
      <c r="U73" s="2">
        <v>-6.67</v>
      </c>
    </row>
    <row r="74" spans="1:21" x14ac:dyDescent="0.35">
      <c r="A74">
        <v>254</v>
      </c>
      <c r="B74" t="s">
        <v>409</v>
      </c>
      <c r="C74" s="1">
        <v>44711</v>
      </c>
      <c r="D74" s="1">
        <v>44715</v>
      </c>
      <c r="E74" t="s">
        <v>45</v>
      </c>
      <c r="F74" t="s">
        <v>410</v>
      </c>
      <c r="G74" t="s">
        <v>411</v>
      </c>
      <c r="H74" t="s">
        <v>25</v>
      </c>
      <c r="I74" t="s">
        <v>26</v>
      </c>
      <c r="J74" t="s">
        <v>48</v>
      </c>
      <c r="K74" t="s">
        <v>48</v>
      </c>
      <c r="L74">
        <v>45699</v>
      </c>
      <c r="M74" t="s">
        <v>39</v>
      </c>
      <c r="N74" t="s">
        <v>412</v>
      </c>
      <c r="O74" t="s">
        <v>41</v>
      </c>
      <c r="P74" t="s">
        <v>106</v>
      </c>
      <c r="Q74" t="s">
        <v>413</v>
      </c>
      <c r="R74" s="2">
        <v>36.5</v>
      </c>
      <c r="S74">
        <v>3</v>
      </c>
      <c r="T74" s="3">
        <v>0.4</v>
      </c>
      <c r="U74" s="2">
        <v>-2.74</v>
      </c>
    </row>
    <row r="75" spans="1:21" x14ac:dyDescent="0.35">
      <c r="A75">
        <v>576</v>
      </c>
      <c r="B75" t="s">
        <v>414</v>
      </c>
      <c r="C75" s="1">
        <v>44711</v>
      </c>
      <c r="D75" s="1">
        <v>44712</v>
      </c>
      <c r="E75" t="s">
        <v>34</v>
      </c>
      <c r="F75" t="s">
        <v>415</v>
      </c>
      <c r="G75" t="s">
        <v>416</v>
      </c>
      <c r="H75" t="s">
        <v>25</v>
      </c>
      <c r="I75" t="s">
        <v>26</v>
      </c>
      <c r="J75" t="s">
        <v>139</v>
      </c>
      <c r="K75" t="s">
        <v>139</v>
      </c>
      <c r="L75">
        <v>93529</v>
      </c>
      <c r="M75" t="s">
        <v>65</v>
      </c>
      <c r="N75" t="s">
        <v>417</v>
      </c>
      <c r="O75" t="s">
        <v>41</v>
      </c>
      <c r="P75" t="s">
        <v>170</v>
      </c>
      <c r="Q75" t="s">
        <v>418</v>
      </c>
      <c r="R75" s="2">
        <v>51.63</v>
      </c>
      <c r="S75">
        <v>4</v>
      </c>
      <c r="T75" s="3">
        <v>0.2</v>
      </c>
      <c r="U75" s="2">
        <v>2.58</v>
      </c>
    </row>
    <row r="76" spans="1:21" x14ac:dyDescent="0.35">
      <c r="A76">
        <v>583</v>
      </c>
      <c r="B76" t="s">
        <v>419</v>
      </c>
      <c r="C76" s="1">
        <v>44712</v>
      </c>
      <c r="D76" s="1">
        <v>44713</v>
      </c>
      <c r="E76" t="s">
        <v>45</v>
      </c>
      <c r="F76" t="s">
        <v>420</v>
      </c>
      <c r="G76" t="s">
        <v>421</v>
      </c>
      <c r="H76" t="s">
        <v>37</v>
      </c>
      <c r="I76" t="s">
        <v>26</v>
      </c>
      <c r="J76" t="s">
        <v>64</v>
      </c>
      <c r="K76" t="s">
        <v>64</v>
      </c>
      <c r="L76">
        <v>38180</v>
      </c>
      <c r="M76" t="s">
        <v>65</v>
      </c>
      <c r="N76" t="s">
        <v>422</v>
      </c>
      <c r="O76" t="s">
        <v>30</v>
      </c>
      <c r="P76" t="s">
        <v>176</v>
      </c>
      <c r="Q76" t="s">
        <v>423</v>
      </c>
      <c r="R76" s="2">
        <v>401.53</v>
      </c>
      <c r="S76">
        <v>2</v>
      </c>
      <c r="T76" s="3">
        <v>0.2</v>
      </c>
      <c r="U76" s="2">
        <v>32.29</v>
      </c>
    </row>
    <row r="77" spans="1:21" x14ac:dyDescent="0.35">
      <c r="A77">
        <v>317</v>
      </c>
      <c r="B77" t="s">
        <v>424</v>
      </c>
      <c r="C77" s="1">
        <v>44713</v>
      </c>
      <c r="D77" s="1">
        <v>44715</v>
      </c>
      <c r="E77" t="s">
        <v>45</v>
      </c>
      <c r="F77" t="s">
        <v>425</v>
      </c>
      <c r="G77" t="s">
        <v>416</v>
      </c>
      <c r="H77" t="s">
        <v>25</v>
      </c>
      <c r="I77" t="s">
        <v>26</v>
      </c>
      <c r="J77" t="s">
        <v>139</v>
      </c>
      <c r="K77" t="s">
        <v>139</v>
      </c>
      <c r="L77">
        <v>80190</v>
      </c>
      <c r="M77" t="s">
        <v>65</v>
      </c>
      <c r="N77" t="s">
        <v>426</v>
      </c>
      <c r="O77" t="s">
        <v>30</v>
      </c>
      <c r="P77" t="s">
        <v>100</v>
      </c>
      <c r="Q77" t="s">
        <v>427</v>
      </c>
      <c r="R77" s="2">
        <v>358.3</v>
      </c>
      <c r="S77">
        <v>2</v>
      </c>
      <c r="T77" s="3">
        <v>0.15</v>
      </c>
      <c r="U77" s="2">
        <v>15.45</v>
      </c>
    </row>
    <row r="78" spans="1:21" x14ac:dyDescent="0.35">
      <c r="A78">
        <v>112</v>
      </c>
      <c r="B78" t="s">
        <v>428</v>
      </c>
      <c r="C78" s="1">
        <v>44716</v>
      </c>
      <c r="D78" s="1">
        <v>44719</v>
      </c>
      <c r="E78" t="s">
        <v>34</v>
      </c>
      <c r="F78" t="s">
        <v>429</v>
      </c>
      <c r="G78" t="s">
        <v>416</v>
      </c>
      <c r="H78" t="s">
        <v>37</v>
      </c>
      <c r="I78" t="s">
        <v>26</v>
      </c>
      <c r="J78" t="s">
        <v>71</v>
      </c>
      <c r="K78" t="s">
        <v>71</v>
      </c>
      <c r="L78">
        <v>15542</v>
      </c>
      <c r="M78" t="s">
        <v>56</v>
      </c>
      <c r="N78" t="s">
        <v>430</v>
      </c>
      <c r="O78" t="s">
        <v>30</v>
      </c>
      <c r="P78" t="s">
        <v>31</v>
      </c>
      <c r="Q78" t="s">
        <v>431</v>
      </c>
      <c r="R78" s="2">
        <v>126.44</v>
      </c>
      <c r="S78">
        <v>5</v>
      </c>
      <c r="T78" s="3">
        <v>0.3</v>
      </c>
      <c r="U78" s="2">
        <v>-12.28</v>
      </c>
    </row>
    <row r="79" spans="1:21" x14ac:dyDescent="0.35">
      <c r="A79">
        <v>373</v>
      </c>
      <c r="B79" t="s">
        <v>432</v>
      </c>
      <c r="C79" s="1">
        <v>44718</v>
      </c>
      <c r="D79" s="1">
        <v>44722</v>
      </c>
      <c r="E79" t="s">
        <v>22</v>
      </c>
      <c r="F79" t="s">
        <v>433</v>
      </c>
      <c r="G79" t="s">
        <v>434</v>
      </c>
      <c r="H79" t="s">
        <v>25</v>
      </c>
      <c r="I79" t="s">
        <v>26</v>
      </c>
      <c r="J79" t="s">
        <v>82</v>
      </c>
      <c r="K79" t="s">
        <v>82</v>
      </c>
      <c r="L79">
        <v>74824</v>
      </c>
      <c r="M79" t="s">
        <v>28</v>
      </c>
      <c r="N79" t="s">
        <v>435</v>
      </c>
      <c r="O79" t="s">
        <v>41</v>
      </c>
      <c r="P79" t="s">
        <v>170</v>
      </c>
      <c r="Q79" t="s">
        <v>436</v>
      </c>
      <c r="R79" s="2">
        <v>103.87</v>
      </c>
      <c r="S79">
        <v>3</v>
      </c>
      <c r="T79" s="3">
        <v>0.3</v>
      </c>
      <c r="U79" s="2">
        <v>2.79</v>
      </c>
    </row>
    <row r="80" spans="1:21" x14ac:dyDescent="0.35">
      <c r="A80">
        <v>563</v>
      </c>
      <c r="B80" t="s">
        <v>437</v>
      </c>
      <c r="C80" s="1">
        <v>44719</v>
      </c>
      <c r="D80" s="1">
        <v>44722</v>
      </c>
      <c r="E80" t="s">
        <v>45</v>
      </c>
      <c r="F80" t="s">
        <v>438</v>
      </c>
      <c r="G80" t="s">
        <v>439</v>
      </c>
      <c r="H80" t="s">
        <v>37</v>
      </c>
      <c r="I80" t="s">
        <v>26</v>
      </c>
      <c r="J80" t="s">
        <v>122</v>
      </c>
      <c r="K80" t="s">
        <v>122</v>
      </c>
      <c r="L80">
        <v>24859</v>
      </c>
      <c r="M80" t="s">
        <v>65</v>
      </c>
      <c r="N80" t="s">
        <v>440</v>
      </c>
      <c r="O80" t="s">
        <v>30</v>
      </c>
      <c r="P80" t="s">
        <v>176</v>
      </c>
      <c r="Q80" t="s">
        <v>441</v>
      </c>
      <c r="R80" s="2">
        <v>184.06</v>
      </c>
      <c r="S80">
        <v>7</v>
      </c>
      <c r="T80" s="3">
        <v>0.1</v>
      </c>
      <c r="U80" s="2">
        <v>6.31</v>
      </c>
    </row>
    <row r="81" spans="1:21" x14ac:dyDescent="0.35">
      <c r="A81">
        <v>125</v>
      </c>
      <c r="B81" t="s">
        <v>442</v>
      </c>
      <c r="C81" s="1">
        <v>44720</v>
      </c>
      <c r="D81" s="1">
        <v>44721</v>
      </c>
      <c r="E81" t="s">
        <v>45</v>
      </c>
      <c r="F81" t="s">
        <v>443</v>
      </c>
      <c r="G81" t="s">
        <v>444</v>
      </c>
      <c r="H81" t="s">
        <v>25</v>
      </c>
      <c r="I81" t="s">
        <v>26</v>
      </c>
      <c r="J81" t="s">
        <v>38</v>
      </c>
      <c r="K81" t="s">
        <v>38</v>
      </c>
      <c r="L81">
        <v>86256</v>
      </c>
      <c r="M81" t="s">
        <v>39</v>
      </c>
      <c r="N81" t="s">
        <v>445</v>
      </c>
      <c r="O81" t="s">
        <v>41</v>
      </c>
      <c r="P81" t="s">
        <v>151</v>
      </c>
      <c r="Q81" t="s">
        <v>446</v>
      </c>
      <c r="R81" s="2">
        <v>102.26</v>
      </c>
      <c r="S81">
        <v>3</v>
      </c>
      <c r="T81" s="3">
        <v>0.15</v>
      </c>
      <c r="U81" s="2">
        <v>13.86</v>
      </c>
    </row>
    <row r="82" spans="1:21" x14ac:dyDescent="0.35">
      <c r="A82">
        <v>87</v>
      </c>
      <c r="B82" t="s">
        <v>447</v>
      </c>
      <c r="C82" s="1">
        <v>44720</v>
      </c>
      <c r="D82" s="1">
        <v>44723</v>
      </c>
      <c r="E82" t="s">
        <v>45</v>
      </c>
      <c r="F82" t="s">
        <v>448</v>
      </c>
      <c r="G82" t="s">
        <v>174</v>
      </c>
      <c r="H82" t="s">
        <v>37</v>
      </c>
      <c r="I82" t="s">
        <v>26</v>
      </c>
      <c r="J82" t="s">
        <v>27</v>
      </c>
      <c r="K82" t="s">
        <v>27</v>
      </c>
      <c r="L82">
        <v>58364</v>
      </c>
      <c r="M82" t="s">
        <v>28</v>
      </c>
      <c r="N82" t="s">
        <v>449</v>
      </c>
      <c r="O82" t="s">
        <v>41</v>
      </c>
      <c r="P82" t="s">
        <v>73</v>
      </c>
      <c r="Q82" t="s">
        <v>450</v>
      </c>
      <c r="R82" s="2">
        <v>14.2</v>
      </c>
      <c r="S82">
        <v>4</v>
      </c>
      <c r="T82" s="3">
        <v>0.3</v>
      </c>
      <c r="U82" s="2">
        <v>1.1399999999999999</v>
      </c>
    </row>
    <row r="83" spans="1:21" x14ac:dyDescent="0.35">
      <c r="A83">
        <v>417</v>
      </c>
      <c r="B83" t="s">
        <v>451</v>
      </c>
      <c r="C83" s="1">
        <v>44722</v>
      </c>
      <c r="D83" s="1">
        <v>44723</v>
      </c>
      <c r="E83" t="s">
        <v>34</v>
      </c>
      <c r="F83" t="s">
        <v>452</v>
      </c>
      <c r="G83" t="s">
        <v>453</v>
      </c>
      <c r="H83" t="s">
        <v>54</v>
      </c>
      <c r="I83" t="s">
        <v>26</v>
      </c>
      <c r="J83" t="s">
        <v>55</v>
      </c>
      <c r="K83" t="s">
        <v>55</v>
      </c>
      <c r="L83">
        <v>53052</v>
      </c>
      <c r="M83" t="s">
        <v>56</v>
      </c>
      <c r="N83" t="s">
        <v>350</v>
      </c>
      <c r="O83" t="s">
        <v>41</v>
      </c>
      <c r="P83" t="s">
        <v>106</v>
      </c>
      <c r="Q83" t="s">
        <v>454</v>
      </c>
      <c r="R83" s="2">
        <v>20.76</v>
      </c>
      <c r="S83">
        <v>3</v>
      </c>
      <c r="T83" s="3">
        <v>0</v>
      </c>
      <c r="U83" s="2">
        <v>3.69</v>
      </c>
    </row>
    <row r="84" spans="1:21" x14ac:dyDescent="0.35">
      <c r="A84">
        <v>159</v>
      </c>
      <c r="B84" t="s">
        <v>455</v>
      </c>
      <c r="C84" s="1">
        <v>44725</v>
      </c>
      <c r="D84" s="1">
        <v>44730</v>
      </c>
      <c r="E84" t="s">
        <v>34</v>
      </c>
      <c r="F84" t="s">
        <v>456</v>
      </c>
      <c r="G84" t="s">
        <v>364</v>
      </c>
      <c r="H84" t="s">
        <v>37</v>
      </c>
      <c r="I84" t="s">
        <v>26</v>
      </c>
      <c r="J84" t="s">
        <v>38</v>
      </c>
      <c r="K84" t="s">
        <v>38</v>
      </c>
      <c r="L84">
        <v>39689</v>
      </c>
      <c r="M84" t="s">
        <v>39</v>
      </c>
      <c r="N84" t="s">
        <v>457</v>
      </c>
      <c r="O84" t="s">
        <v>58</v>
      </c>
      <c r="P84" t="s">
        <v>59</v>
      </c>
      <c r="Q84" t="s">
        <v>458</v>
      </c>
      <c r="R84" s="2">
        <v>174.8</v>
      </c>
      <c r="S84">
        <v>6</v>
      </c>
      <c r="T84" s="3">
        <v>0.3</v>
      </c>
      <c r="U84" s="2">
        <v>7.36</v>
      </c>
    </row>
    <row r="85" spans="1:21" x14ac:dyDescent="0.35">
      <c r="A85">
        <v>423</v>
      </c>
      <c r="B85" t="s">
        <v>459</v>
      </c>
      <c r="C85" s="1">
        <v>44726</v>
      </c>
      <c r="D85" s="1">
        <v>44729</v>
      </c>
      <c r="E85" t="s">
        <v>45</v>
      </c>
      <c r="F85" t="s">
        <v>460</v>
      </c>
      <c r="G85" t="s">
        <v>461</v>
      </c>
      <c r="H85" t="s">
        <v>37</v>
      </c>
      <c r="I85" t="s">
        <v>26</v>
      </c>
      <c r="J85" t="s">
        <v>71</v>
      </c>
      <c r="K85" t="s">
        <v>71</v>
      </c>
      <c r="L85">
        <v>71914</v>
      </c>
      <c r="M85" t="s">
        <v>56</v>
      </c>
      <c r="N85" t="s">
        <v>462</v>
      </c>
      <c r="O85" t="s">
        <v>41</v>
      </c>
      <c r="P85" t="s">
        <v>170</v>
      </c>
      <c r="Q85" t="s">
        <v>463</v>
      </c>
      <c r="R85" s="2">
        <v>63.07</v>
      </c>
      <c r="S85">
        <v>3</v>
      </c>
      <c r="T85" s="3">
        <v>0.1</v>
      </c>
      <c r="U85" s="2">
        <v>17.329999999999998</v>
      </c>
    </row>
    <row r="86" spans="1:21" x14ac:dyDescent="0.35">
      <c r="A86">
        <v>3</v>
      </c>
      <c r="B86" t="s">
        <v>464</v>
      </c>
      <c r="C86" s="1">
        <v>44728</v>
      </c>
      <c r="D86" s="1">
        <v>44729</v>
      </c>
      <c r="E86" t="s">
        <v>34</v>
      </c>
      <c r="F86" t="s">
        <v>465</v>
      </c>
      <c r="G86" t="s">
        <v>466</v>
      </c>
      <c r="H86" t="s">
        <v>25</v>
      </c>
      <c r="I86" t="s">
        <v>26</v>
      </c>
      <c r="J86" t="s">
        <v>181</v>
      </c>
      <c r="K86" t="s">
        <v>181</v>
      </c>
      <c r="L86">
        <v>77121</v>
      </c>
      <c r="M86" t="s">
        <v>65</v>
      </c>
      <c r="N86" t="s">
        <v>467</v>
      </c>
      <c r="O86" t="s">
        <v>58</v>
      </c>
      <c r="P86" t="s">
        <v>112</v>
      </c>
      <c r="Q86" t="s">
        <v>468</v>
      </c>
      <c r="R86" s="2">
        <v>133.9</v>
      </c>
      <c r="S86">
        <v>5</v>
      </c>
      <c r="T86" s="3">
        <v>0.3</v>
      </c>
      <c r="U86" s="2">
        <v>20.53</v>
      </c>
    </row>
    <row r="87" spans="1:21" x14ac:dyDescent="0.35">
      <c r="A87">
        <v>30</v>
      </c>
      <c r="B87" t="s">
        <v>469</v>
      </c>
      <c r="C87" s="1">
        <v>44728</v>
      </c>
      <c r="D87" s="1">
        <v>44731</v>
      </c>
      <c r="E87" t="s">
        <v>34</v>
      </c>
      <c r="F87" t="s">
        <v>470</v>
      </c>
      <c r="G87" t="s">
        <v>471</v>
      </c>
      <c r="H87" t="s">
        <v>25</v>
      </c>
      <c r="I87" t="s">
        <v>26</v>
      </c>
      <c r="J87" t="s">
        <v>472</v>
      </c>
      <c r="K87" t="s">
        <v>472</v>
      </c>
      <c r="L87">
        <v>90219</v>
      </c>
      <c r="M87" t="s">
        <v>56</v>
      </c>
      <c r="N87" t="s">
        <v>473</v>
      </c>
      <c r="O87" t="s">
        <v>41</v>
      </c>
      <c r="P87" t="s">
        <v>151</v>
      </c>
      <c r="Q87" t="s">
        <v>474</v>
      </c>
      <c r="R87" s="2">
        <v>111</v>
      </c>
      <c r="S87">
        <v>4</v>
      </c>
      <c r="T87" s="3">
        <v>0</v>
      </c>
      <c r="U87" s="2">
        <v>27.7</v>
      </c>
    </row>
    <row r="88" spans="1:21" x14ac:dyDescent="0.35">
      <c r="A88">
        <v>29</v>
      </c>
      <c r="B88" t="s">
        <v>475</v>
      </c>
      <c r="C88" s="1">
        <v>44731</v>
      </c>
      <c r="D88" s="1">
        <v>44734</v>
      </c>
      <c r="E88" t="s">
        <v>34</v>
      </c>
      <c r="F88" t="s">
        <v>476</v>
      </c>
      <c r="G88" t="s">
        <v>477</v>
      </c>
      <c r="H88" t="s">
        <v>25</v>
      </c>
      <c r="I88" t="s">
        <v>26</v>
      </c>
      <c r="J88" t="s">
        <v>187</v>
      </c>
      <c r="K88" t="s">
        <v>187</v>
      </c>
      <c r="L88">
        <v>82124</v>
      </c>
      <c r="M88" t="s">
        <v>39</v>
      </c>
      <c r="N88" t="s">
        <v>478</v>
      </c>
      <c r="O88" t="s">
        <v>41</v>
      </c>
      <c r="P88" t="s">
        <v>42</v>
      </c>
      <c r="Q88" t="s">
        <v>479</v>
      </c>
      <c r="R88" s="2">
        <v>89.69</v>
      </c>
      <c r="S88">
        <v>4</v>
      </c>
      <c r="T88" s="3">
        <v>0.05</v>
      </c>
      <c r="U88" s="2">
        <v>15.78</v>
      </c>
    </row>
    <row r="89" spans="1:21" x14ac:dyDescent="0.35">
      <c r="A89">
        <v>182</v>
      </c>
      <c r="B89" t="s">
        <v>480</v>
      </c>
      <c r="C89" s="1">
        <v>44732</v>
      </c>
      <c r="D89" s="1">
        <v>44733</v>
      </c>
      <c r="E89" t="s">
        <v>45</v>
      </c>
      <c r="F89" t="s">
        <v>481</v>
      </c>
      <c r="G89" t="s">
        <v>192</v>
      </c>
      <c r="H89" t="s">
        <v>25</v>
      </c>
      <c r="I89" t="s">
        <v>26</v>
      </c>
      <c r="J89" t="s">
        <v>277</v>
      </c>
      <c r="K89" t="s">
        <v>277</v>
      </c>
      <c r="L89">
        <v>77712</v>
      </c>
      <c r="M89" t="s">
        <v>56</v>
      </c>
      <c r="N89" t="s">
        <v>482</v>
      </c>
      <c r="O89" t="s">
        <v>41</v>
      </c>
      <c r="P89" t="s">
        <v>106</v>
      </c>
      <c r="Q89" t="s">
        <v>483</v>
      </c>
      <c r="R89" s="2">
        <v>81.53</v>
      </c>
      <c r="S89">
        <v>5</v>
      </c>
      <c r="T89" s="3">
        <v>0.15</v>
      </c>
      <c r="U89" s="2">
        <v>7.07</v>
      </c>
    </row>
    <row r="90" spans="1:21" x14ac:dyDescent="0.35">
      <c r="A90">
        <v>280</v>
      </c>
      <c r="B90" t="s">
        <v>484</v>
      </c>
      <c r="C90" s="1">
        <v>44733</v>
      </c>
      <c r="D90" s="1">
        <v>44734</v>
      </c>
      <c r="E90" t="s">
        <v>34</v>
      </c>
      <c r="F90" t="s">
        <v>485</v>
      </c>
      <c r="G90" t="s">
        <v>167</v>
      </c>
      <c r="H90" t="s">
        <v>25</v>
      </c>
      <c r="I90" t="s">
        <v>26</v>
      </c>
      <c r="J90" t="s">
        <v>48</v>
      </c>
      <c r="K90" t="s">
        <v>48</v>
      </c>
      <c r="L90">
        <v>27857</v>
      </c>
      <c r="M90" t="s">
        <v>39</v>
      </c>
      <c r="N90" t="s">
        <v>486</v>
      </c>
      <c r="O90" t="s">
        <v>30</v>
      </c>
      <c r="P90" t="s">
        <v>157</v>
      </c>
      <c r="Q90" t="s">
        <v>487</v>
      </c>
      <c r="R90" s="2">
        <v>114.41</v>
      </c>
      <c r="S90">
        <v>7</v>
      </c>
      <c r="T90" s="3">
        <v>0.3</v>
      </c>
      <c r="U90" s="2">
        <v>-7.48</v>
      </c>
    </row>
    <row r="91" spans="1:21" x14ac:dyDescent="0.35">
      <c r="A91">
        <v>371</v>
      </c>
      <c r="B91" t="s">
        <v>488</v>
      </c>
      <c r="C91" s="1">
        <v>44737</v>
      </c>
      <c r="D91" s="1">
        <v>44741</v>
      </c>
      <c r="E91" t="s">
        <v>34</v>
      </c>
      <c r="F91" t="s">
        <v>489</v>
      </c>
      <c r="G91" t="s">
        <v>232</v>
      </c>
      <c r="H91" t="s">
        <v>37</v>
      </c>
      <c r="I91" t="s">
        <v>26</v>
      </c>
      <c r="J91" t="s">
        <v>38</v>
      </c>
      <c r="K91" t="s">
        <v>38</v>
      </c>
      <c r="L91">
        <v>34845</v>
      </c>
      <c r="M91" t="s">
        <v>39</v>
      </c>
      <c r="N91" t="s">
        <v>490</v>
      </c>
      <c r="O91" t="s">
        <v>41</v>
      </c>
      <c r="P91" t="s">
        <v>106</v>
      </c>
      <c r="Q91" t="s">
        <v>491</v>
      </c>
      <c r="R91" s="2">
        <v>64.7</v>
      </c>
      <c r="S91">
        <v>1</v>
      </c>
      <c r="T91" s="3">
        <v>0.3</v>
      </c>
      <c r="U91" s="2">
        <v>-1.93</v>
      </c>
    </row>
    <row r="92" spans="1:21" x14ac:dyDescent="0.35">
      <c r="A92">
        <v>55</v>
      </c>
      <c r="B92" t="s">
        <v>492</v>
      </c>
      <c r="C92" s="1">
        <v>44738</v>
      </c>
      <c r="D92" s="1">
        <v>44742</v>
      </c>
      <c r="E92" t="s">
        <v>34</v>
      </c>
      <c r="F92" t="s">
        <v>493</v>
      </c>
      <c r="G92" t="s">
        <v>36</v>
      </c>
      <c r="H92" t="s">
        <v>25</v>
      </c>
      <c r="I92" t="s">
        <v>26</v>
      </c>
      <c r="J92" t="s">
        <v>48</v>
      </c>
      <c r="K92" t="s">
        <v>48</v>
      </c>
      <c r="L92">
        <v>85520</v>
      </c>
      <c r="M92" t="s">
        <v>39</v>
      </c>
      <c r="N92" t="s">
        <v>263</v>
      </c>
      <c r="O92" t="s">
        <v>41</v>
      </c>
      <c r="P92" t="s">
        <v>73</v>
      </c>
      <c r="Q92" t="s">
        <v>366</v>
      </c>
      <c r="R92" s="2">
        <v>15.26</v>
      </c>
      <c r="S92">
        <v>1</v>
      </c>
      <c r="T92" s="3">
        <v>0.15</v>
      </c>
      <c r="U92" s="2">
        <v>1.49</v>
      </c>
    </row>
    <row r="93" spans="1:21" x14ac:dyDescent="0.35">
      <c r="A93">
        <v>540</v>
      </c>
      <c r="B93" t="s">
        <v>494</v>
      </c>
      <c r="C93" s="1">
        <v>44740</v>
      </c>
      <c r="D93" s="1">
        <v>44746</v>
      </c>
      <c r="E93" t="s">
        <v>34</v>
      </c>
      <c r="F93" t="s">
        <v>495</v>
      </c>
      <c r="G93" t="s">
        <v>496</v>
      </c>
      <c r="H93" t="s">
        <v>37</v>
      </c>
      <c r="I93" t="s">
        <v>26</v>
      </c>
      <c r="J93" t="s">
        <v>64</v>
      </c>
      <c r="K93" t="s">
        <v>64</v>
      </c>
      <c r="L93">
        <v>95548</v>
      </c>
      <c r="M93" t="s">
        <v>65</v>
      </c>
      <c r="N93" t="s">
        <v>497</v>
      </c>
      <c r="O93" t="s">
        <v>30</v>
      </c>
      <c r="P93" t="s">
        <v>176</v>
      </c>
      <c r="Q93" t="s">
        <v>235</v>
      </c>
      <c r="R93" s="2">
        <v>22.89</v>
      </c>
      <c r="S93">
        <v>7</v>
      </c>
      <c r="T93" s="3">
        <v>0.1</v>
      </c>
      <c r="U93" s="2">
        <v>3.57</v>
      </c>
    </row>
    <row r="94" spans="1:21" x14ac:dyDescent="0.35">
      <c r="A94">
        <v>354</v>
      </c>
      <c r="B94" t="s">
        <v>498</v>
      </c>
      <c r="C94" s="1">
        <v>44741</v>
      </c>
      <c r="D94" s="1">
        <v>44743</v>
      </c>
      <c r="E94" t="s">
        <v>34</v>
      </c>
      <c r="F94" t="s">
        <v>499</v>
      </c>
      <c r="G94" t="s">
        <v>500</v>
      </c>
      <c r="H94" t="s">
        <v>25</v>
      </c>
      <c r="I94" t="s">
        <v>26</v>
      </c>
      <c r="J94" t="s">
        <v>82</v>
      </c>
      <c r="K94" t="s">
        <v>82</v>
      </c>
      <c r="L94">
        <v>13407</v>
      </c>
      <c r="M94" t="s">
        <v>28</v>
      </c>
      <c r="N94" t="s">
        <v>501</v>
      </c>
      <c r="O94" t="s">
        <v>41</v>
      </c>
      <c r="P94" t="s">
        <v>106</v>
      </c>
      <c r="Q94" t="s">
        <v>502</v>
      </c>
      <c r="R94" s="2">
        <v>89.82</v>
      </c>
      <c r="S94">
        <v>2</v>
      </c>
      <c r="T94" s="3">
        <v>0.5</v>
      </c>
      <c r="U94" s="2">
        <v>-9.76</v>
      </c>
    </row>
    <row r="95" spans="1:21" x14ac:dyDescent="0.35">
      <c r="A95">
        <v>445</v>
      </c>
      <c r="B95" t="s">
        <v>503</v>
      </c>
      <c r="C95" s="1">
        <v>44747</v>
      </c>
      <c r="D95" s="1">
        <v>44750</v>
      </c>
      <c r="E95" t="s">
        <v>34</v>
      </c>
      <c r="F95" t="s">
        <v>504</v>
      </c>
      <c r="G95" t="s">
        <v>354</v>
      </c>
      <c r="H95" t="s">
        <v>25</v>
      </c>
      <c r="I95" t="s">
        <v>26</v>
      </c>
      <c r="J95" t="s">
        <v>127</v>
      </c>
      <c r="K95" t="s">
        <v>127</v>
      </c>
      <c r="L95">
        <v>19491</v>
      </c>
      <c r="M95" t="s">
        <v>56</v>
      </c>
      <c r="N95" t="s">
        <v>505</v>
      </c>
      <c r="O95" t="s">
        <v>41</v>
      </c>
      <c r="P95" t="s">
        <v>42</v>
      </c>
      <c r="Q95" t="s">
        <v>189</v>
      </c>
      <c r="R95" s="2">
        <v>101.71</v>
      </c>
      <c r="S95">
        <v>6</v>
      </c>
      <c r="T95" s="3">
        <v>0.4</v>
      </c>
      <c r="U95" s="2">
        <v>-9.42</v>
      </c>
    </row>
    <row r="96" spans="1:21" x14ac:dyDescent="0.35">
      <c r="A96">
        <v>232</v>
      </c>
      <c r="B96" t="s">
        <v>506</v>
      </c>
      <c r="C96" s="1">
        <v>44748</v>
      </c>
      <c r="D96" s="1">
        <v>44752</v>
      </c>
      <c r="E96" t="s">
        <v>34</v>
      </c>
      <c r="F96" t="s">
        <v>507</v>
      </c>
      <c r="G96" t="s">
        <v>340</v>
      </c>
      <c r="H96" t="s">
        <v>54</v>
      </c>
      <c r="I96" t="s">
        <v>26</v>
      </c>
      <c r="J96" t="s">
        <v>127</v>
      </c>
      <c r="K96" t="s">
        <v>127</v>
      </c>
      <c r="L96">
        <v>58920</v>
      </c>
      <c r="M96" t="s">
        <v>56</v>
      </c>
      <c r="N96" t="s">
        <v>327</v>
      </c>
      <c r="O96" t="s">
        <v>58</v>
      </c>
      <c r="P96" t="s">
        <v>59</v>
      </c>
      <c r="Q96" t="s">
        <v>508</v>
      </c>
      <c r="R96" s="2">
        <v>277.81</v>
      </c>
      <c r="S96">
        <v>4</v>
      </c>
      <c r="T96" s="3">
        <v>0.15</v>
      </c>
      <c r="U96" s="2">
        <v>32.5</v>
      </c>
    </row>
    <row r="97" spans="1:21" x14ac:dyDescent="0.35">
      <c r="A97">
        <v>223</v>
      </c>
      <c r="B97" t="s">
        <v>509</v>
      </c>
      <c r="C97" s="1">
        <v>44750</v>
      </c>
      <c r="D97" s="1">
        <v>44754</v>
      </c>
      <c r="E97" t="s">
        <v>34</v>
      </c>
      <c r="F97" t="s">
        <v>510</v>
      </c>
      <c r="G97" t="s">
        <v>511</v>
      </c>
      <c r="H97" t="s">
        <v>54</v>
      </c>
      <c r="I97" t="s">
        <v>26</v>
      </c>
      <c r="J97" t="s">
        <v>187</v>
      </c>
      <c r="K97" t="s">
        <v>187</v>
      </c>
      <c r="L97">
        <v>49104</v>
      </c>
      <c r="M97" t="s">
        <v>39</v>
      </c>
      <c r="N97" t="s">
        <v>512</v>
      </c>
      <c r="O97" t="s">
        <v>58</v>
      </c>
      <c r="P97" t="s">
        <v>89</v>
      </c>
      <c r="Q97" t="s">
        <v>513</v>
      </c>
      <c r="R97" s="2">
        <v>322.14999999999998</v>
      </c>
      <c r="S97">
        <v>3</v>
      </c>
      <c r="T97" s="3">
        <v>0.2</v>
      </c>
      <c r="U97" s="2">
        <v>14.81</v>
      </c>
    </row>
    <row r="98" spans="1:21" x14ac:dyDescent="0.35">
      <c r="A98">
        <v>411</v>
      </c>
      <c r="B98" t="s">
        <v>514</v>
      </c>
      <c r="C98" s="1">
        <v>44753</v>
      </c>
      <c r="D98" s="1">
        <v>44754</v>
      </c>
      <c r="E98" t="s">
        <v>22</v>
      </c>
      <c r="F98" t="s">
        <v>515</v>
      </c>
      <c r="G98" t="s">
        <v>516</v>
      </c>
      <c r="H98" t="s">
        <v>37</v>
      </c>
      <c r="I98" t="s">
        <v>26</v>
      </c>
      <c r="J98" t="s">
        <v>162</v>
      </c>
      <c r="K98" t="s">
        <v>162</v>
      </c>
      <c r="L98">
        <v>95914</v>
      </c>
      <c r="M98" t="s">
        <v>28</v>
      </c>
      <c r="N98" t="s">
        <v>512</v>
      </c>
      <c r="O98" t="s">
        <v>30</v>
      </c>
      <c r="P98" t="s">
        <v>176</v>
      </c>
      <c r="Q98" t="s">
        <v>517</v>
      </c>
      <c r="R98" s="2">
        <v>523.59</v>
      </c>
      <c r="S98">
        <v>4</v>
      </c>
      <c r="T98" s="3">
        <v>0.3</v>
      </c>
      <c r="U98" s="2">
        <v>-34.49</v>
      </c>
    </row>
    <row r="99" spans="1:21" x14ac:dyDescent="0.35">
      <c r="A99">
        <v>193</v>
      </c>
      <c r="B99" t="s">
        <v>518</v>
      </c>
      <c r="C99" s="1">
        <v>44754</v>
      </c>
      <c r="D99" s="1">
        <v>44757</v>
      </c>
      <c r="E99" t="s">
        <v>45</v>
      </c>
      <c r="F99" t="s">
        <v>519</v>
      </c>
      <c r="G99" t="s">
        <v>520</v>
      </c>
      <c r="H99" t="s">
        <v>54</v>
      </c>
      <c r="I99" t="s">
        <v>26</v>
      </c>
      <c r="J99" t="s">
        <v>82</v>
      </c>
      <c r="K99" t="s">
        <v>82</v>
      </c>
      <c r="L99">
        <v>96328</v>
      </c>
      <c r="M99" t="s">
        <v>28</v>
      </c>
      <c r="N99" t="s">
        <v>223</v>
      </c>
      <c r="O99" t="s">
        <v>58</v>
      </c>
      <c r="P99" t="s">
        <v>59</v>
      </c>
      <c r="Q99" t="s">
        <v>521</v>
      </c>
      <c r="R99" s="2">
        <v>91.85</v>
      </c>
      <c r="S99">
        <v>3</v>
      </c>
      <c r="T99" s="3">
        <v>0.3</v>
      </c>
      <c r="U99" s="2">
        <v>6.07</v>
      </c>
    </row>
    <row r="100" spans="1:21" x14ac:dyDescent="0.35">
      <c r="A100">
        <v>153</v>
      </c>
      <c r="B100" t="s">
        <v>522</v>
      </c>
      <c r="C100" s="1">
        <v>44756</v>
      </c>
      <c r="D100" s="1">
        <v>44761</v>
      </c>
      <c r="E100" t="s">
        <v>45</v>
      </c>
      <c r="F100" t="s">
        <v>523</v>
      </c>
      <c r="G100" t="s">
        <v>524</v>
      </c>
      <c r="H100" t="s">
        <v>25</v>
      </c>
      <c r="I100" t="s">
        <v>26</v>
      </c>
      <c r="J100" t="s">
        <v>193</v>
      </c>
      <c r="K100" t="s">
        <v>193</v>
      </c>
      <c r="L100">
        <v>78803</v>
      </c>
      <c r="M100" t="s">
        <v>39</v>
      </c>
      <c r="N100" t="s">
        <v>525</v>
      </c>
      <c r="O100" t="s">
        <v>58</v>
      </c>
      <c r="P100" t="s">
        <v>307</v>
      </c>
      <c r="Q100" t="s">
        <v>361</v>
      </c>
      <c r="R100" s="2">
        <v>407.53</v>
      </c>
      <c r="S100">
        <v>6</v>
      </c>
      <c r="T100" s="3">
        <v>0.2</v>
      </c>
      <c r="U100" s="2">
        <v>24.69</v>
      </c>
    </row>
    <row r="101" spans="1:21" x14ac:dyDescent="0.35">
      <c r="A101">
        <v>124</v>
      </c>
      <c r="B101" t="s">
        <v>526</v>
      </c>
      <c r="C101" s="1">
        <v>44763</v>
      </c>
      <c r="D101" s="1">
        <v>44766</v>
      </c>
      <c r="E101" t="s">
        <v>45</v>
      </c>
      <c r="F101" t="s">
        <v>527</v>
      </c>
      <c r="G101" t="s">
        <v>301</v>
      </c>
      <c r="H101" t="s">
        <v>25</v>
      </c>
      <c r="I101" t="s">
        <v>26</v>
      </c>
      <c r="J101" t="s">
        <v>27</v>
      </c>
      <c r="K101" t="s">
        <v>27</v>
      </c>
      <c r="L101">
        <v>75697</v>
      </c>
      <c r="M101" t="s">
        <v>28</v>
      </c>
      <c r="N101" t="s">
        <v>528</v>
      </c>
      <c r="O101" t="s">
        <v>30</v>
      </c>
      <c r="P101" t="s">
        <v>31</v>
      </c>
      <c r="Q101" t="s">
        <v>529</v>
      </c>
      <c r="R101" s="2">
        <v>461.12</v>
      </c>
      <c r="S101">
        <v>2</v>
      </c>
      <c r="T101" s="3">
        <v>0.15</v>
      </c>
      <c r="U101" s="2">
        <v>21.28</v>
      </c>
    </row>
    <row r="102" spans="1:21" x14ac:dyDescent="0.35">
      <c r="A102">
        <v>458</v>
      </c>
      <c r="B102" t="s">
        <v>530</v>
      </c>
      <c r="C102" s="1">
        <v>44765</v>
      </c>
      <c r="D102" s="1">
        <v>44767</v>
      </c>
      <c r="E102" t="s">
        <v>34</v>
      </c>
      <c r="F102" t="s">
        <v>531</v>
      </c>
      <c r="G102" t="s">
        <v>532</v>
      </c>
      <c r="H102" t="s">
        <v>25</v>
      </c>
      <c r="I102" t="s">
        <v>26</v>
      </c>
      <c r="J102" t="s">
        <v>162</v>
      </c>
      <c r="K102" t="s">
        <v>162</v>
      </c>
      <c r="L102">
        <v>32228</v>
      </c>
      <c r="M102" t="s">
        <v>28</v>
      </c>
      <c r="N102" t="s">
        <v>533</v>
      </c>
      <c r="O102" t="s">
        <v>58</v>
      </c>
      <c r="P102" t="s">
        <v>112</v>
      </c>
      <c r="Q102" t="s">
        <v>534</v>
      </c>
      <c r="R102" s="2">
        <v>282.18</v>
      </c>
      <c r="S102">
        <v>4</v>
      </c>
      <c r="T102" s="3">
        <v>0.2</v>
      </c>
      <c r="U102" s="2">
        <v>58.7</v>
      </c>
    </row>
    <row r="103" spans="1:21" x14ac:dyDescent="0.35">
      <c r="A103">
        <v>466</v>
      </c>
      <c r="B103" t="s">
        <v>535</v>
      </c>
      <c r="C103" s="1">
        <v>44769</v>
      </c>
      <c r="D103" s="1">
        <v>44770</v>
      </c>
      <c r="E103" t="s">
        <v>34</v>
      </c>
      <c r="F103" t="s">
        <v>536</v>
      </c>
      <c r="G103" t="s">
        <v>63</v>
      </c>
      <c r="H103" t="s">
        <v>54</v>
      </c>
      <c r="I103" t="s">
        <v>26</v>
      </c>
      <c r="J103" t="s">
        <v>48</v>
      </c>
      <c r="K103" t="s">
        <v>48</v>
      </c>
      <c r="L103">
        <v>90879</v>
      </c>
      <c r="M103" t="s">
        <v>39</v>
      </c>
      <c r="N103" t="s">
        <v>537</v>
      </c>
      <c r="O103" t="s">
        <v>30</v>
      </c>
      <c r="P103" t="s">
        <v>31</v>
      </c>
      <c r="Q103" t="s">
        <v>538</v>
      </c>
      <c r="R103" s="2">
        <v>291.66000000000003</v>
      </c>
      <c r="S103">
        <v>7</v>
      </c>
      <c r="T103" s="3">
        <v>0.5</v>
      </c>
      <c r="U103" s="2">
        <v>-63.16</v>
      </c>
    </row>
    <row r="104" spans="1:21" x14ac:dyDescent="0.35">
      <c r="A104">
        <v>85</v>
      </c>
      <c r="B104" t="s">
        <v>539</v>
      </c>
      <c r="C104" s="1">
        <v>44769</v>
      </c>
      <c r="D104" s="1">
        <v>44772</v>
      </c>
      <c r="E104" t="s">
        <v>34</v>
      </c>
      <c r="F104" t="s">
        <v>540</v>
      </c>
      <c r="G104" t="s">
        <v>253</v>
      </c>
      <c r="H104" t="s">
        <v>37</v>
      </c>
      <c r="I104" t="s">
        <v>26</v>
      </c>
      <c r="J104" t="s">
        <v>71</v>
      </c>
      <c r="K104" t="s">
        <v>71</v>
      </c>
      <c r="L104">
        <v>41890</v>
      </c>
      <c r="M104" t="s">
        <v>56</v>
      </c>
      <c r="N104" t="s">
        <v>541</v>
      </c>
      <c r="O104" t="s">
        <v>58</v>
      </c>
      <c r="P104" t="s">
        <v>307</v>
      </c>
      <c r="Q104" t="s">
        <v>542</v>
      </c>
      <c r="R104" s="2">
        <v>629.91</v>
      </c>
      <c r="S104">
        <v>4</v>
      </c>
      <c r="T104" s="3">
        <v>0</v>
      </c>
      <c r="U104" s="2">
        <v>166.48</v>
      </c>
    </row>
    <row r="105" spans="1:21" x14ac:dyDescent="0.35">
      <c r="A105">
        <v>141</v>
      </c>
      <c r="B105" t="s">
        <v>543</v>
      </c>
      <c r="C105" s="1">
        <v>44771</v>
      </c>
      <c r="D105" s="1">
        <v>44775</v>
      </c>
      <c r="E105" t="s">
        <v>34</v>
      </c>
      <c r="F105" t="s">
        <v>544</v>
      </c>
      <c r="G105" t="s">
        <v>545</v>
      </c>
      <c r="H105" t="s">
        <v>25</v>
      </c>
      <c r="I105" t="s">
        <v>26</v>
      </c>
      <c r="J105" t="s">
        <v>472</v>
      </c>
      <c r="K105" t="s">
        <v>472</v>
      </c>
      <c r="L105">
        <v>79785</v>
      </c>
      <c r="M105" t="s">
        <v>56</v>
      </c>
      <c r="N105" t="s">
        <v>546</v>
      </c>
      <c r="O105" t="s">
        <v>41</v>
      </c>
      <c r="P105" t="s">
        <v>134</v>
      </c>
      <c r="Q105" t="s">
        <v>547</v>
      </c>
      <c r="R105" s="2">
        <v>74.13</v>
      </c>
      <c r="S105">
        <v>6</v>
      </c>
      <c r="T105" s="3">
        <v>0.1</v>
      </c>
      <c r="U105" s="2">
        <v>10.07</v>
      </c>
    </row>
    <row r="106" spans="1:21" x14ac:dyDescent="0.35">
      <c r="A106">
        <v>326</v>
      </c>
      <c r="B106" t="s">
        <v>548</v>
      </c>
      <c r="C106" s="1">
        <v>44773</v>
      </c>
      <c r="D106" s="1">
        <v>44775</v>
      </c>
      <c r="E106" t="s">
        <v>22</v>
      </c>
      <c r="F106" t="s">
        <v>549</v>
      </c>
      <c r="G106" t="s">
        <v>550</v>
      </c>
      <c r="H106" t="s">
        <v>25</v>
      </c>
      <c r="I106" t="s">
        <v>26</v>
      </c>
      <c r="J106" t="s">
        <v>162</v>
      </c>
      <c r="K106" t="s">
        <v>162</v>
      </c>
      <c r="L106">
        <v>87909</v>
      </c>
      <c r="M106" t="s">
        <v>28</v>
      </c>
      <c r="N106" t="s">
        <v>551</v>
      </c>
      <c r="O106" t="s">
        <v>30</v>
      </c>
      <c r="P106" t="s">
        <v>100</v>
      </c>
      <c r="Q106" t="s">
        <v>552</v>
      </c>
      <c r="R106" s="2">
        <v>56.11</v>
      </c>
      <c r="S106">
        <v>5</v>
      </c>
      <c r="T106" s="3">
        <v>0</v>
      </c>
      <c r="U106" s="2">
        <v>4.87</v>
      </c>
    </row>
    <row r="107" spans="1:21" x14ac:dyDescent="0.35">
      <c r="A107">
        <v>113</v>
      </c>
      <c r="B107" t="s">
        <v>553</v>
      </c>
      <c r="C107" s="1">
        <v>44774</v>
      </c>
      <c r="D107" s="1">
        <v>44778</v>
      </c>
      <c r="E107" t="s">
        <v>34</v>
      </c>
      <c r="F107" t="s">
        <v>554</v>
      </c>
      <c r="G107" t="s">
        <v>192</v>
      </c>
      <c r="H107" t="s">
        <v>25</v>
      </c>
      <c r="I107" t="s">
        <v>26</v>
      </c>
      <c r="J107" t="s">
        <v>139</v>
      </c>
      <c r="K107" t="s">
        <v>139</v>
      </c>
      <c r="L107">
        <v>47487</v>
      </c>
      <c r="M107" t="s">
        <v>65</v>
      </c>
      <c r="N107" t="s">
        <v>555</v>
      </c>
      <c r="O107" t="s">
        <v>58</v>
      </c>
      <c r="P107" t="s">
        <v>112</v>
      </c>
      <c r="Q107" t="s">
        <v>556</v>
      </c>
      <c r="R107" s="2">
        <v>239</v>
      </c>
      <c r="S107">
        <v>4</v>
      </c>
      <c r="T107" s="3">
        <v>0.1</v>
      </c>
      <c r="U107" s="2">
        <v>42.12</v>
      </c>
    </row>
    <row r="108" spans="1:21" x14ac:dyDescent="0.35">
      <c r="A108">
        <v>196</v>
      </c>
      <c r="B108" t="s">
        <v>557</v>
      </c>
      <c r="C108" s="1">
        <v>44776</v>
      </c>
      <c r="D108" s="1">
        <v>44779</v>
      </c>
      <c r="E108" t="s">
        <v>34</v>
      </c>
      <c r="F108" t="s">
        <v>558</v>
      </c>
      <c r="G108" t="s">
        <v>292</v>
      </c>
      <c r="H108" t="s">
        <v>25</v>
      </c>
      <c r="I108" t="s">
        <v>26</v>
      </c>
      <c r="J108" t="s">
        <v>71</v>
      </c>
      <c r="K108" t="s">
        <v>71</v>
      </c>
      <c r="L108">
        <v>24256</v>
      </c>
      <c r="M108" t="s">
        <v>56</v>
      </c>
      <c r="N108" t="s">
        <v>559</v>
      </c>
      <c r="O108" t="s">
        <v>41</v>
      </c>
      <c r="P108" t="s">
        <v>73</v>
      </c>
      <c r="Q108" t="s">
        <v>74</v>
      </c>
      <c r="R108" s="2">
        <v>90.04</v>
      </c>
      <c r="S108">
        <v>2</v>
      </c>
      <c r="T108" s="3">
        <v>0.15</v>
      </c>
      <c r="U108" s="2">
        <v>12.6</v>
      </c>
    </row>
    <row r="109" spans="1:21" x14ac:dyDescent="0.35">
      <c r="A109">
        <v>567</v>
      </c>
      <c r="B109" t="s">
        <v>560</v>
      </c>
      <c r="C109" s="1">
        <v>44777</v>
      </c>
      <c r="D109" s="1">
        <v>44778</v>
      </c>
      <c r="E109" t="s">
        <v>34</v>
      </c>
      <c r="F109" t="s">
        <v>561</v>
      </c>
      <c r="G109" t="s">
        <v>562</v>
      </c>
      <c r="H109" t="s">
        <v>37</v>
      </c>
      <c r="I109" t="s">
        <v>26</v>
      </c>
      <c r="J109" t="s">
        <v>55</v>
      </c>
      <c r="K109" t="s">
        <v>55</v>
      </c>
      <c r="L109">
        <v>11949</v>
      </c>
      <c r="M109" t="s">
        <v>56</v>
      </c>
      <c r="N109" t="s">
        <v>563</v>
      </c>
      <c r="O109" t="s">
        <v>30</v>
      </c>
      <c r="P109" t="s">
        <v>100</v>
      </c>
      <c r="Q109" t="s">
        <v>564</v>
      </c>
      <c r="R109" s="2">
        <v>21.08</v>
      </c>
      <c r="S109">
        <v>3</v>
      </c>
      <c r="T109" s="3">
        <v>0.1</v>
      </c>
      <c r="U109" s="2">
        <v>2.2000000000000002</v>
      </c>
    </row>
    <row r="110" spans="1:21" x14ac:dyDescent="0.35">
      <c r="A110">
        <v>410</v>
      </c>
      <c r="B110" t="s">
        <v>565</v>
      </c>
      <c r="C110" s="1">
        <v>44779</v>
      </c>
      <c r="D110" s="1">
        <v>44781</v>
      </c>
      <c r="E110" t="s">
        <v>22</v>
      </c>
      <c r="F110" t="s">
        <v>566</v>
      </c>
      <c r="G110" t="s">
        <v>167</v>
      </c>
      <c r="H110" t="s">
        <v>37</v>
      </c>
      <c r="I110" t="s">
        <v>26</v>
      </c>
      <c r="J110" t="s">
        <v>27</v>
      </c>
      <c r="K110" t="s">
        <v>27</v>
      </c>
      <c r="L110">
        <v>44268</v>
      </c>
      <c r="M110" t="s">
        <v>28</v>
      </c>
      <c r="N110" t="s">
        <v>567</v>
      </c>
      <c r="O110" t="s">
        <v>30</v>
      </c>
      <c r="P110" t="s">
        <v>100</v>
      </c>
      <c r="Q110" t="s">
        <v>568</v>
      </c>
      <c r="R110" s="2">
        <v>251.2</v>
      </c>
      <c r="S110">
        <v>3</v>
      </c>
      <c r="T110" s="3">
        <v>0.3</v>
      </c>
      <c r="U110" s="2">
        <v>-31.99</v>
      </c>
    </row>
    <row r="111" spans="1:21" x14ac:dyDescent="0.35">
      <c r="A111">
        <v>343</v>
      </c>
      <c r="B111" t="s">
        <v>569</v>
      </c>
      <c r="C111" s="1">
        <v>44780</v>
      </c>
      <c r="D111" s="1">
        <v>44783</v>
      </c>
      <c r="E111" t="s">
        <v>34</v>
      </c>
      <c r="F111" t="s">
        <v>570</v>
      </c>
      <c r="G111" t="s">
        <v>500</v>
      </c>
      <c r="H111" t="s">
        <v>25</v>
      </c>
      <c r="I111" t="s">
        <v>26</v>
      </c>
      <c r="J111" t="s">
        <v>48</v>
      </c>
      <c r="K111" t="s">
        <v>48</v>
      </c>
      <c r="L111">
        <v>68560</v>
      </c>
      <c r="M111" t="s">
        <v>39</v>
      </c>
      <c r="N111" t="s">
        <v>571</v>
      </c>
      <c r="O111" t="s">
        <v>30</v>
      </c>
      <c r="P111" t="s">
        <v>157</v>
      </c>
      <c r="Q111" t="s">
        <v>572</v>
      </c>
      <c r="R111" s="2">
        <v>101.67</v>
      </c>
      <c r="S111">
        <v>5</v>
      </c>
      <c r="T111" s="3">
        <v>0.15</v>
      </c>
      <c r="U111" s="2">
        <v>-1.2</v>
      </c>
    </row>
    <row r="112" spans="1:21" x14ac:dyDescent="0.35">
      <c r="A112">
        <v>292</v>
      </c>
      <c r="B112" t="s">
        <v>573</v>
      </c>
      <c r="C112" s="1">
        <v>44782</v>
      </c>
      <c r="D112" s="1">
        <v>44786</v>
      </c>
      <c r="E112" t="s">
        <v>34</v>
      </c>
      <c r="F112" t="s">
        <v>574</v>
      </c>
      <c r="G112" t="s">
        <v>575</v>
      </c>
      <c r="H112" t="s">
        <v>54</v>
      </c>
      <c r="I112" t="s">
        <v>26</v>
      </c>
      <c r="J112" t="s">
        <v>204</v>
      </c>
      <c r="K112" t="s">
        <v>204</v>
      </c>
      <c r="L112">
        <v>81289</v>
      </c>
      <c r="M112" t="s">
        <v>39</v>
      </c>
      <c r="N112" t="s">
        <v>576</v>
      </c>
      <c r="O112" t="s">
        <v>41</v>
      </c>
      <c r="P112" t="s">
        <v>151</v>
      </c>
      <c r="Q112" t="s">
        <v>333</v>
      </c>
      <c r="R112" s="2">
        <v>46.59</v>
      </c>
      <c r="S112">
        <v>2</v>
      </c>
      <c r="T112" s="3">
        <v>0.1</v>
      </c>
      <c r="U112" s="2">
        <v>5.21</v>
      </c>
    </row>
    <row r="113" spans="1:21" x14ac:dyDescent="0.35">
      <c r="A113">
        <v>260</v>
      </c>
      <c r="B113" t="s">
        <v>577</v>
      </c>
      <c r="C113" s="1">
        <v>44782</v>
      </c>
      <c r="D113" s="1">
        <v>44785</v>
      </c>
      <c r="E113" t="s">
        <v>34</v>
      </c>
      <c r="F113" t="s">
        <v>578</v>
      </c>
      <c r="G113" t="s">
        <v>24</v>
      </c>
      <c r="H113" t="s">
        <v>25</v>
      </c>
      <c r="I113" t="s">
        <v>26</v>
      </c>
      <c r="J113" t="s">
        <v>27</v>
      </c>
      <c r="K113" t="s">
        <v>27</v>
      </c>
      <c r="L113">
        <v>13748</v>
      </c>
      <c r="M113" t="s">
        <v>28</v>
      </c>
      <c r="N113" t="s">
        <v>579</v>
      </c>
      <c r="O113" t="s">
        <v>58</v>
      </c>
      <c r="P113" t="s">
        <v>89</v>
      </c>
      <c r="Q113" t="s">
        <v>211</v>
      </c>
      <c r="R113" s="2">
        <v>157.16999999999999</v>
      </c>
      <c r="S113">
        <v>1</v>
      </c>
      <c r="T113" s="3">
        <v>0</v>
      </c>
      <c r="U113" s="2">
        <v>34.9</v>
      </c>
    </row>
    <row r="114" spans="1:21" x14ac:dyDescent="0.35">
      <c r="A114">
        <v>437</v>
      </c>
      <c r="B114" t="s">
        <v>580</v>
      </c>
      <c r="C114" s="1">
        <v>44786</v>
      </c>
      <c r="D114" s="1">
        <v>44788</v>
      </c>
      <c r="E114" t="s">
        <v>22</v>
      </c>
      <c r="F114" t="s">
        <v>581</v>
      </c>
      <c r="G114" t="s">
        <v>198</v>
      </c>
      <c r="H114" t="s">
        <v>37</v>
      </c>
      <c r="I114" t="s">
        <v>26</v>
      </c>
      <c r="J114" t="s">
        <v>472</v>
      </c>
      <c r="K114" t="s">
        <v>472</v>
      </c>
      <c r="L114">
        <v>47289</v>
      </c>
      <c r="M114" t="s">
        <v>56</v>
      </c>
      <c r="N114" t="s">
        <v>582</v>
      </c>
      <c r="O114" t="s">
        <v>30</v>
      </c>
      <c r="P114" t="s">
        <v>157</v>
      </c>
      <c r="Q114" t="s">
        <v>583</v>
      </c>
      <c r="R114" s="2">
        <v>108.14</v>
      </c>
      <c r="S114">
        <v>7</v>
      </c>
      <c r="T114" s="3">
        <v>0.1</v>
      </c>
      <c r="U114" s="2">
        <v>11.29</v>
      </c>
    </row>
    <row r="115" spans="1:21" x14ac:dyDescent="0.35">
      <c r="A115">
        <v>314</v>
      </c>
      <c r="B115" t="s">
        <v>584</v>
      </c>
      <c r="C115" s="1">
        <v>44787</v>
      </c>
      <c r="D115" s="1">
        <v>44791</v>
      </c>
      <c r="E115" t="s">
        <v>290</v>
      </c>
      <c r="F115" t="s">
        <v>585</v>
      </c>
      <c r="G115" t="s">
        <v>63</v>
      </c>
      <c r="H115" t="s">
        <v>25</v>
      </c>
      <c r="I115" t="s">
        <v>26</v>
      </c>
      <c r="J115" t="s">
        <v>181</v>
      </c>
      <c r="K115" t="s">
        <v>181</v>
      </c>
      <c r="L115">
        <v>79101</v>
      </c>
      <c r="M115" t="s">
        <v>65</v>
      </c>
      <c r="N115" t="s">
        <v>586</v>
      </c>
      <c r="O115" t="s">
        <v>41</v>
      </c>
      <c r="P115" t="s">
        <v>170</v>
      </c>
      <c r="Q115" t="s">
        <v>587</v>
      </c>
      <c r="R115" s="2">
        <v>103.92</v>
      </c>
      <c r="S115">
        <v>7</v>
      </c>
      <c r="T115" s="3">
        <v>0.3</v>
      </c>
      <c r="U115" s="2">
        <v>2.58</v>
      </c>
    </row>
    <row r="116" spans="1:21" x14ac:dyDescent="0.35">
      <c r="A116">
        <v>306</v>
      </c>
      <c r="B116" t="s">
        <v>588</v>
      </c>
      <c r="C116" s="1">
        <v>44789</v>
      </c>
      <c r="D116" s="1">
        <v>44794</v>
      </c>
      <c r="E116" t="s">
        <v>34</v>
      </c>
      <c r="F116" t="s">
        <v>589</v>
      </c>
      <c r="G116" t="s">
        <v>590</v>
      </c>
      <c r="H116" t="s">
        <v>37</v>
      </c>
      <c r="I116" t="s">
        <v>26</v>
      </c>
      <c r="J116" t="s">
        <v>55</v>
      </c>
      <c r="K116" t="s">
        <v>55</v>
      </c>
      <c r="L116">
        <v>98721</v>
      </c>
      <c r="M116" t="s">
        <v>56</v>
      </c>
      <c r="N116" t="s">
        <v>591</v>
      </c>
      <c r="O116" t="s">
        <v>30</v>
      </c>
      <c r="P116" t="s">
        <v>176</v>
      </c>
      <c r="Q116" t="s">
        <v>592</v>
      </c>
      <c r="R116" s="2">
        <v>343.71</v>
      </c>
      <c r="S116">
        <v>5</v>
      </c>
      <c r="T116" s="3">
        <v>0.2</v>
      </c>
      <c r="U116" s="2">
        <v>1.66</v>
      </c>
    </row>
    <row r="117" spans="1:21" x14ac:dyDescent="0.35">
      <c r="A117">
        <v>341</v>
      </c>
      <c r="B117" t="s">
        <v>593</v>
      </c>
      <c r="C117" s="1">
        <v>44792</v>
      </c>
      <c r="D117" s="1">
        <v>44797</v>
      </c>
      <c r="E117" t="s">
        <v>34</v>
      </c>
      <c r="F117" t="s">
        <v>594</v>
      </c>
      <c r="G117" t="s">
        <v>411</v>
      </c>
      <c r="H117" t="s">
        <v>54</v>
      </c>
      <c r="I117" t="s">
        <v>26</v>
      </c>
      <c r="J117" t="s">
        <v>55</v>
      </c>
      <c r="K117" t="s">
        <v>55</v>
      </c>
      <c r="L117">
        <v>45897</v>
      </c>
      <c r="M117" t="s">
        <v>56</v>
      </c>
      <c r="N117" t="s">
        <v>595</v>
      </c>
      <c r="O117" t="s">
        <v>30</v>
      </c>
      <c r="P117" t="s">
        <v>176</v>
      </c>
      <c r="Q117" t="s">
        <v>596</v>
      </c>
      <c r="R117" s="2">
        <v>132.37</v>
      </c>
      <c r="S117">
        <v>7</v>
      </c>
      <c r="T117" s="3">
        <v>0.2</v>
      </c>
      <c r="U117" s="2">
        <v>2.63</v>
      </c>
    </row>
    <row r="118" spans="1:21" x14ac:dyDescent="0.35">
      <c r="A118">
        <v>395</v>
      </c>
      <c r="B118" t="s">
        <v>597</v>
      </c>
      <c r="C118" s="1">
        <v>44793</v>
      </c>
      <c r="D118" s="1">
        <v>44795</v>
      </c>
      <c r="E118" t="s">
        <v>45</v>
      </c>
      <c r="F118" t="s">
        <v>598</v>
      </c>
      <c r="G118" t="s">
        <v>63</v>
      </c>
      <c r="H118" t="s">
        <v>37</v>
      </c>
      <c r="I118" t="s">
        <v>26</v>
      </c>
      <c r="J118" t="s">
        <v>127</v>
      </c>
      <c r="K118" t="s">
        <v>127</v>
      </c>
      <c r="L118">
        <v>19107</v>
      </c>
      <c r="M118" t="s">
        <v>56</v>
      </c>
      <c r="N118" t="s">
        <v>591</v>
      </c>
      <c r="O118" t="s">
        <v>30</v>
      </c>
      <c r="P118" t="s">
        <v>31</v>
      </c>
      <c r="Q118" t="s">
        <v>294</v>
      </c>
      <c r="R118" s="2">
        <v>72.06</v>
      </c>
      <c r="S118">
        <v>2</v>
      </c>
      <c r="T118" s="3">
        <v>0</v>
      </c>
      <c r="U118" s="2">
        <v>12.57</v>
      </c>
    </row>
    <row r="119" spans="1:21" x14ac:dyDescent="0.35">
      <c r="A119">
        <v>208</v>
      </c>
      <c r="B119" t="s">
        <v>599</v>
      </c>
      <c r="C119" s="1">
        <v>44796</v>
      </c>
      <c r="D119" s="1">
        <v>44800</v>
      </c>
      <c r="E119" t="s">
        <v>45</v>
      </c>
      <c r="F119" t="s">
        <v>600</v>
      </c>
      <c r="G119" t="s">
        <v>180</v>
      </c>
      <c r="H119" t="s">
        <v>37</v>
      </c>
      <c r="I119" t="s">
        <v>26</v>
      </c>
      <c r="J119" t="s">
        <v>193</v>
      </c>
      <c r="K119" t="s">
        <v>193</v>
      </c>
      <c r="L119">
        <v>54942</v>
      </c>
      <c r="M119" t="s">
        <v>39</v>
      </c>
      <c r="N119" t="s">
        <v>601</v>
      </c>
      <c r="O119" t="s">
        <v>30</v>
      </c>
      <c r="P119" t="s">
        <v>157</v>
      </c>
      <c r="Q119" t="s">
        <v>602</v>
      </c>
      <c r="R119" s="2">
        <v>449.84</v>
      </c>
      <c r="S119">
        <v>4</v>
      </c>
      <c r="T119" s="3">
        <v>0.1</v>
      </c>
      <c r="U119" s="2">
        <v>21.2</v>
      </c>
    </row>
    <row r="120" spans="1:21" x14ac:dyDescent="0.35">
      <c r="A120">
        <v>120</v>
      </c>
      <c r="B120" t="s">
        <v>603</v>
      </c>
      <c r="C120" s="1">
        <v>44797</v>
      </c>
      <c r="D120" s="1">
        <v>44798</v>
      </c>
      <c r="E120" t="s">
        <v>34</v>
      </c>
      <c r="F120" t="s">
        <v>604</v>
      </c>
      <c r="G120" t="s">
        <v>359</v>
      </c>
      <c r="H120" t="s">
        <v>25</v>
      </c>
      <c r="I120" t="s">
        <v>26</v>
      </c>
      <c r="J120" t="s">
        <v>168</v>
      </c>
      <c r="K120" t="s">
        <v>168</v>
      </c>
      <c r="L120">
        <v>39739</v>
      </c>
      <c r="M120" t="s">
        <v>28</v>
      </c>
      <c r="N120" t="s">
        <v>435</v>
      </c>
      <c r="O120" t="s">
        <v>41</v>
      </c>
      <c r="P120" t="s">
        <v>134</v>
      </c>
      <c r="Q120" t="s">
        <v>605</v>
      </c>
      <c r="R120" s="2">
        <v>58.72</v>
      </c>
      <c r="S120">
        <v>3</v>
      </c>
      <c r="T120" s="3">
        <v>0.5</v>
      </c>
      <c r="U120" s="2">
        <v>-9.6199999999999992</v>
      </c>
    </row>
    <row r="121" spans="1:21" x14ac:dyDescent="0.35">
      <c r="A121">
        <v>18</v>
      </c>
      <c r="B121" t="s">
        <v>606</v>
      </c>
      <c r="C121" s="1">
        <v>44807</v>
      </c>
      <c r="D121" s="1">
        <v>44810</v>
      </c>
      <c r="E121" t="s">
        <v>22</v>
      </c>
      <c r="F121" t="s">
        <v>607</v>
      </c>
      <c r="G121" t="s">
        <v>608</v>
      </c>
      <c r="H121" t="s">
        <v>37</v>
      </c>
      <c r="I121" t="s">
        <v>26</v>
      </c>
      <c r="J121" t="s">
        <v>122</v>
      </c>
      <c r="K121" t="s">
        <v>122</v>
      </c>
      <c r="L121">
        <v>86429</v>
      </c>
      <c r="M121" t="s">
        <v>65</v>
      </c>
      <c r="N121" t="s">
        <v>609</v>
      </c>
      <c r="O121" t="s">
        <v>30</v>
      </c>
      <c r="P121" t="s">
        <v>157</v>
      </c>
      <c r="Q121" t="s">
        <v>610</v>
      </c>
      <c r="R121" s="2">
        <v>54.97</v>
      </c>
      <c r="S121">
        <v>7</v>
      </c>
      <c r="T121" s="3">
        <v>0.15</v>
      </c>
      <c r="U121" s="2">
        <v>5.4</v>
      </c>
    </row>
    <row r="122" spans="1:21" x14ac:dyDescent="0.35">
      <c r="A122">
        <v>347</v>
      </c>
      <c r="B122" t="s">
        <v>611</v>
      </c>
      <c r="C122" s="1">
        <v>44813</v>
      </c>
      <c r="D122" s="1">
        <v>44815</v>
      </c>
      <c r="E122" t="s">
        <v>45</v>
      </c>
      <c r="F122" t="s">
        <v>612</v>
      </c>
      <c r="G122" t="s">
        <v>613</v>
      </c>
      <c r="H122" t="s">
        <v>25</v>
      </c>
      <c r="I122" t="s">
        <v>26</v>
      </c>
      <c r="J122" t="s">
        <v>168</v>
      </c>
      <c r="K122" t="s">
        <v>168</v>
      </c>
      <c r="L122">
        <v>72559</v>
      </c>
      <c r="M122" t="s">
        <v>28</v>
      </c>
      <c r="N122" t="s">
        <v>614</v>
      </c>
      <c r="O122" t="s">
        <v>41</v>
      </c>
      <c r="P122" t="s">
        <v>42</v>
      </c>
      <c r="Q122" t="s">
        <v>615</v>
      </c>
      <c r="R122" s="2">
        <v>37.119999999999997</v>
      </c>
      <c r="S122">
        <v>1</v>
      </c>
      <c r="T122" s="3">
        <v>0.05</v>
      </c>
      <c r="U122" s="2">
        <v>5.22</v>
      </c>
    </row>
    <row r="123" spans="1:21" x14ac:dyDescent="0.35">
      <c r="A123">
        <v>375</v>
      </c>
      <c r="B123" t="s">
        <v>616</v>
      </c>
      <c r="C123" s="1">
        <v>44814</v>
      </c>
      <c r="D123" s="1">
        <v>44816</v>
      </c>
      <c r="E123" t="s">
        <v>34</v>
      </c>
      <c r="F123" t="s">
        <v>617</v>
      </c>
      <c r="G123" t="s">
        <v>63</v>
      </c>
      <c r="H123" t="s">
        <v>37</v>
      </c>
      <c r="I123" t="s">
        <v>26</v>
      </c>
      <c r="J123" t="s">
        <v>277</v>
      </c>
      <c r="K123" t="s">
        <v>277</v>
      </c>
      <c r="L123">
        <v>91899</v>
      </c>
      <c r="M123" t="s">
        <v>56</v>
      </c>
      <c r="N123" t="s">
        <v>618</v>
      </c>
      <c r="O123" t="s">
        <v>41</v>
      </c>
      <c r="P123" t="s">
        <v>134</v>
      </c>
      <c r="Q123" t="s">
        <v>619</v>
      </c>
      <c r="R123" s="2">
        <v>185.87</v>
      </c>
      <c r="S123">
        <v>3</v>
      </c>
      <c r="T123" s="3">
        <v>0.3</v>
      </c>
      <c r="U123" s="2">
        <v>-0.97</v>
      </c>
    </row>
    <row r="124" spans="1:21" x14ac:dyDescent="0.35">
      <c r="A124">
        <v>586</v>
      </c>
      <c r="B124" t="s">
        <v>620</v>
      </c>
      <c r="C124" s="1">
        <v>44814</v>
      </c>
      <c r="D124" s="1">
        <v>44817</v>
      </c>
      <c r="E124" t="s">
        <v>290</v>
      </c>
      <c r="F124" t="s">
        <v>621</v>
      </c>
      <c r="G124" t="s">
        <v>500</v>
      </c>
      <c r="H124" t="s">
        <v>25</v>
      </c>
      <c r="I124" t="s">
        <v>26</v>
      </c>
      <c r="J124" t="s">
        <v>181</v>
      </c>
      <c r="K124" t="s">
        <v>181</v>
      </c>
      <c r="L124">
        <v>73146</v>
      </c>
      <c r="M124" t="s">
        <v>65</v>
      </c>
      <c r="N124" t="s">
        <v>622</v>
      </c>
      <c r="O124" t="s">
        <v>58</v>
      </c>
      <c r="P124" t="s">
        <v>89</v>
      </c>
      <c r="Q124" t="s">
        <v>255</v>
      </c>
      <c r="R124" s="2">
        <v>748.57</v>
      </c>
      <c r="S124">
        <v>2</v>
      </c>
      <c r="T124" s="3">
        <v>0.2</v>
      </c>
      <c r="U124" s="2">
        <v>113.31</v>
      </c>
    </row>
    <row r="125" spans="1:21" x14ac:dyDescent="0.35">
      <c r="A125">
        <v>524</v>
      </c>
      <c r="B125" t="s">
        <v>623</v>
      </c>
      <c r="C125" s="1">
        <v>44819</v>
      </c>
      <c r="D125" s="1">
        <v>44822</v>
      </c>
      <c r="E125" t="s">
        <v>34</v>
      </c>
      <c r="F125" t="s">
        <v>624</v>
      </c>
      <c r="G125" t="s">
        <v>625</v>
      </c>
      <c r="H125" t="s">
        <v>25</v>
      </c>
      <c r="I125" t="s">
        <v>26</v>
      </c>
      <c r="J125" t="s">
        <v>55</v>
      </c>
      <c r="K125" t="s">
        <v>55</v>
      </c>
      <c r="L125">
        <v>39317</v>
      </c>
      <c r="M125" t="s">
        <v>56</v>
      </c>
      <c r="N125" t="s">
        <v>626</v>
      </c>
      <c r="O125" t="s">
        <v>41</v>
      </c>
      <c r="P125" t="s">
        <v>151</v>
      </c>
      <c r="Q125" t="s">
        <v>627</v>
      </c>
      <c r="R125" s="2">
        <v>31.41</v>
      </c>
      <c r="S125">
        <v>5</v>
      </c>
      <c r="T125" s="3">
        <v>0.2</v>
      </c>
      <c r="U125" s="2">
        <v>5</v>
      </c>
    </row>
    <row r="126" spans="1:21" x14ac:dyDescent="0.35">
      <c r="A126">
        <v>355</v>
      </c>
      <c r="B126" t="s">
        <v>628</v>
      </c>
      <c r="C126" s="1">
        <v>44820</v>
      </c>
      <c r="D126" s="1">
        <v>44822</v>
      </c>
      <c r="E126" t="s">
        <v>45</v>
      </c>
      <c r="F126" t="s">
        <v>629</v>
      </c>
      <c r="G126" t="s">
        <v>630</v>
      </c>
      <c r="H126" t="s">
        <v>37</v>
      </c>
      <c r="I126" t="s">
        <v>26</v>
      </c>
      <c r="J126" t="s">
        <v>71</v>
      </c>
      <c r="K126" t="s">
        <v>71</v>
      </c>
      <c r="L126">
        <v>78321</v>
      </c>
      <c r="M126" t="s">
        <v>56</v>
      </c>
      <c r="N126" t="s">
        <v>218</v>
      </c>
      <c r="O126" t="s">
        <v>41</v>
      </c>
      <c r="P126" t="s">
        <v>42</v>
      </c>
      <c r="Q126" t="s">
        <v>631</v>
      </c>
      <c r="R126" s="2">
        <v>271.58</v>
      </c>
      <c r="S126">
        <v>7</v>
      </c>
      <c r="T126" s="3">
        <v>0.05</v>
      </c>
      <c r="U126" s="2">
        <v>29.61</v>
      </c>
    </row>
    <row r="127" spans="1:21" x14ac:dyDescent="0.35">
      <c r="A127">
        <v>318</v>
      </c>
      <c r="B127" t="s">
        <v>632</v>
      </c>
      <c r="C127" s="1">
        <v>44826</v>
      </c>
      <c r="D127" s="1">
        <v>44829</v>
      </c>
      <c r="E127" t="s">
        <v>34</v>
      </c>
      <c r="F127" t="s">
        <v>633</v>
      </c>
      <c r="G127" t="s">
        <v>634</v>
      </c>
      <c r="H127" t="s">
        <v>54</v>
      </c>
      <c r="I127" t="s">
        <v>26</v>
      </c>
      <c r="J127" t="s">
        <v>193</v>
      </c>
      <c r="K127" t="s">
        <v>193</v>
      </c>
      <c r="L127">
        <v>47040</v>
      </c>
      <c r="M127" t="s">
        <v>39</v>
      </c>
      <c r="N127" t="s">
        <v>635</v>
      </c>
      <c r="O127" t="s">
        <v>41</v>
      </c>
      <c r="P127" t="s">
        <v>42</v>
      </c>
      <c r="Q127" t="s">
        <v>245</v>
      </c>
      <c r="R127" s="2">
        <v>29.57</v>
      </c>
      <c r="S127">
        <v>5</v>
      </c>
      <c r="T127" s="3">
        <v>0.05</v>
      </c>
      <c r="U127" s="2">
        <v>5.09</v>
      </c>
    </row>
    <row r="128" spans="1:21" x14ac:dyDescent="0.35">
      <c r="A128">
        <v>529</v>
      </c>
      <c r="B128" t="s">
        <v>636</v>
      </c>
      <c r="C128" s="1">
        <v>44827</v>
      </c>
      <c r="D128" s="1">
        <v>44831</v>
      </c>
      <c r="E128" t="s">
        <v>45</v>
      </c>
      <c r="F128" t="s">
        <v>637</v>
      </c>
      <c r="G128" t="s">
        <v>192</v>
      </c>
      <c r="H128" t="s">
        <v>54</v>
      </c>
      <c r="I128" t="s">
        <v>26</v>
      </c>
      <c r="J128" t="s">
        <v>38</v>
      </c>
      <c r="K128" t="s">
        <v>38</v>
      </c>
      <c r="L128">
        <v>43038</v>
      </c>
      <c r="M128" t="s">
        <v>39</v>
      </c>
      <c r="N128" t="s">
        <v>374</v>
      </c>
      <c r="O128" t="s">
        <v>58</v>
      </c>
      <c r="P128" t="s">
        <v>59</v>
      </c>
      <c r="Q128" t="s">
        <v>60</v>
      </c>
      <c r="R128" s="2">
        <v>275.31</v>
      </c>
      <c r="S128">
        <v>5</v>
      </c>
      <c r="T128" s="3">
        <v>0.2</v>
      </c>
      <c r="U128" s="2">
        <v>20.69</v>
      </c>
    </row>
    <row r="129" spans="1:21" x14ac:dyDescent="0.35">
      <c r="A129">
        <v>216</v>
      </c>
      <c r="B129" t="s">
        <v>638</v>
      </c>
      <c r="C129" s="1">
        <v>44828</v>
      </c>
      <c r="D129" s="1">
        <v>44830</v>
      </c>
      <c r="E129" t="s">
        <v>34</v>
      </c>
      <c r="F129" t="s">
        <v>639</v>
      </c>
      <c r="G129" t="s">
        <v>520</v>
      </c>
      <c r="H129" t="s">
        <v>25</v>
      </c>
      <c r="I129" t="s">
        <v>26</v>
      </c>
      <c r="J129" t="s">
        <v>27</v>
      </c>
      <c r="K129" t="s">
        <v>27</v>
      </c>
      <c r="L129">
        <v>14886</v>
      </c>
      <c r="M129" t="s">
        <v>28</v>
      </c>
      <c r="N129" t="s">
        <v>640</v>
      </c>
      <c r="O129" t="s">
        <v>41</v>
      </c>
      <c r="P129" t="s">
        <v>170</v>
      </c>
      <c r="Q129" t="s">
        <v>641</v>
      </c>
      <c r="R129" s="2">
        <v>47.58</v>
      </c>
      <c r="S129">
        <v>3</v>
      </c>
      <c r="T129" s="3">
        <v>0.05</v>
      </c>
      <c r="U129" s="2">
        <v>8.92</v>
      </c>
    </row>
    <row r="130" spans="1:21" x14ac:dyDescent="0.35">
      <c r="A130">
        <v>248</v>
      </c>
      <c r="B130" t="s">
        <v>642</v>
      </c>
      <c r="C130" s="1">
        <v>44830</v>
      </c>
      <c r="D130" s="1">
        <v>44833</v>
      </c>
      <c r="E130" t="s">
        <v>22</v>
      </c>
      <c r="F130" t="s">
        <v>643</v>
      </c>
      <c r="G130" t="s">
        <v>613</v>
      </c>
      <c r="H130" t="s">
        <v>25</v>
      </c>
      <c r="I130" t="s">
        <v>26</v>
      </c>
      <c r="J130" t="s">
        <v>139</v>
      </c>
      <c r="K130" t="s">
        <v>139</v>
      </c>
      <c r="L130">
        <v>40143</v>
      </c>
      <c r="M130" t="s">
        <v>65</v>
      </c>
      <c r="N130" t="s">
        <v>644</v>
      </c>
      <c r="O130" t="s">
        <v>30</v>
      </c>
      <c r="P130" t="s">
        <v>100</v>
      </c>
      <c r="Q130" t="s">
        <v>645</v>
      </c>
      <c r="R130" s="2">
        <v>183.93</v>
      </c>
      <c r="S130">
        <v>2</v>
      </c>
      <c r="T130" s="3">
        <v>0</v>
      </c>
      <c r="U130" s="2">
        <v>13.43</v>
      </c>
    </row>
    <row r="131" spans="1:21" x14ac:dyDescent="0.35">
      <c r="A131">
        <v>90</v>
      </c>
      <c r="B131" t="s">
        <v>646</v>
      </c>
      <c r="C131" s="1">
        <v>44831</v>
      </c>
      <c r="D131" s="1">
        <v>44834</v>
      </c>
      <c r="E131" t="s">
        <v>34</v>
      </c>
      <c r="F131" t="s">
        <v>647</v>
      </c>
      <c r="G131" t="s">
        <v>416</v>
      </c>
      <c r="H131" t="s">
        <v>25</v>
      </c>
      <c r="I131" t="s">
        <v>26</v>
      </c>
      <c r="J131" t="s">
        <v>64</v>
      </c>
      <c r="K131" t="s">
        <v>64</v>
      </c>
      <c r="L131">
        <v>36155</v>
      </c>
      <c r="M131" t="s">
        <v>65</v>
      </c>
      <c r="N131" t="s">
        <v>648</v>
      </c>
      <c r="O131" t="s">
        <v>41</v>
      </c>
      <c r="P131" t="s">
        <v>151</v>
      </c>
      <c r="Q131" t="s">
        <v>649</v>
      </c>
      <c r="R131" s="2">
        <v>19.39</v>
      </c>
      <c r="S131">
        <v>7</v>
      </c>
      <c r="T131" s="3">
        <v>0.2</v>
      </c>
      <c r="U131" s="2">
        <v>0.52</v>
      </c>
    </row>
    <row r="132" spans="1:21" x14ac:dyDescent="0.35">
      <c r="A132">
        <v>242</v>
      </c>
      <c r="B132" t="s">
        <v>650</v>
      </c>
      <c r="C132" s="1">
        <v>44832</v>
      </c>
      <c r="D132" s="1">
        <v>44835</v>
      </c>
      <c r="E132" t="s">
        <v>22</v>
      </c>
      <c r="F132" t="s">
        <v>651</v>
      </c>
      <c r="G132" t="s">
        <v>652</v>
      </c>
      <c r="H132" t="s">
        <v>37</v>
      </c>
      <c r="I132" t="s">
        <v>26</v>
      </c>
      <c r="J132" t="s">
        <v>181</v>
      </c>
      <c r="K132" t="s">
        <v>181</v>
      </c>
      <c r="L132">
        <v>14765</v>
      </c>
      <c r="M132" t="s">
        <v>65</v>
      </c>
      <c r="N132" t="s">
        <v>653</v>
      </c>
      <c r="O132" t="s">
        <v>41</v>
      </c>
      <c r="P132" t="s">
        <v>106</v>
      </c>
      <c r="Q132" t="s">
        <v>654</v>
      </c>
      <c r="R132" s="2">
        <v>104.16</v>
      </c>
      <c r="S132">
        <v>7</v>
      </c>
      <c r="T132" s="3">
        <v>0.1</v>
      </c>
      <c r="U132" s="2">
        <v>14.76</v>
      </c>
    </row>
    <row r="133" spans="1:21" x14ac:dyDescent="0.35">
      <c r="A133">
        <v>82</v>
      </c>
      <c r="B133" t="s">
        <v>655</v>
      </c>
      <c r="C133" s="1">
        <v>44835</v>
      </c>
      <c r="D133" s="1">
        <v>44839</v>
      </c>
      <c r="E133" t="s">
        <v>45</v>
      </c>
      <c r="F133" t="s">
        <v>656</v>
      </c>
      <c r="G133" t="s">
        <v>657</v>
      </c>
      <c r="H133" t="s">
        <v>25</v>
      </c>
      <c r="I133" t="s">
        <v>26</v>
      </c>
      <c r="J133" t="s">
        <v>55</v>
      </c>
      <c r="K133" t="s">
        <v>55</v>
      </c>
      <c r="L133">
        <v>58787</v>
      </c>
      <c r="M133" t="s">
        <v>56</v>
      </c>
      <c r="N133" t="s">
        <v>658</v>
      </c>
      <c r="O133" t="s">
        <v>41</v>
      </c>
      <c r="P133" t="s">
        <v>151</v>
      </c>
      <c r="Q133" t="s">
        <v>229</v>
      </c>
      <c r="R133" s="2">
        <v>119.05</v>
      </c>
      <c r="S133">
        <v>4</v>
      </c>
      <c r="T133" s="3">
        <v>0.5</v>
      </c>
      <c r="U133" s="2">
        <v>-12.13</v>
      </c>
    </row>
    <row r="134" spans="1:21" x14ac:dyDescent="0.35">
      <c r="A134">
        <v>172</v>
      </c>
      <c r="B134" t="s">
        <v>659</v>
      </c>
      <c r="C134" s="1">
        <v>44835</v>
      </c>
      <c r="D134" s="1">
        <v>44839</v>
      </c>
      <c r="E134" t="s">
        <v>34</v>
      </c>
      <c r="F134" t="s">
        <v>660</v>
      </c>
      <c r="G134" t="s">
        <v>248</v>
      </c>
      <c r="H134" t="s">
        <v>37</v>
      </c>
      <c r="I134" t="s">
        <v>26</v>
      </c>
      <c r="J134" t="s">
        <v>55</v>
      </c>
      <c r="K134" t="s">
        <v>55</v>
      </c>
      <c r="L134">
        <v>72507</v>
      </c>
      <c r="M134" t="s">
        <v>56</v>
      </c>
      <c r="N134" t="s">
        <v>661</v>
      </c>
      <c r="O134" t="s">
        <v>41</v>
      </c>
      <c r="P134" t="s">
        <v>42</v>
      </c>
      <c r="Q134" t="s">
        <v>189</v>
      </c>
      <c r="R134" s="2">
        <v>173.81</v>
      </c>
      <c r="S134">
        <v>4</v>
      </c>
      <c r="T134" s="3">
        <v>0</v>
      </c>
      <c r="U134" s="2">
        <v>48.68</v>
      </c>
    </row>
    <row r="135" spans="1:21" x14ac:dyDescent="0.35">
      <c r="A135">
        <v>227</v>
      </c>
      <c r="B135" t="s">
        <v>662</v>
      </c>
      <c r="C135" s="1">
        <v>44837</v>
      </c>
      <c r="D135" s="1">
        <v>44840</v>
      </c>
      <c r="E135" t="s">
        <v>22</v>
      </c>
      <c r="F135" t="s">
        <v>663</v>
      </c>
      <c r="G135" t="s">
        <v>630</v>
      </c>
      <c r="H135" t="s">
        <v>37</v>
      </c>
      <c r="I135" t="s">
        <v>26</v>
      </c>
      <c r="J135" t="s">
        <v>122</v>
      </c>
      <c r="K135" t="s">
        <v>122</v>
      </c>
      <c r="L135">
        <v>79681</v>
      </c>
      <c r="M135" t="s">
        <v>65</v>
      </c>
      <c r="N135" t="s">
        <v>99</v>
      </c>
      <c r="O135" t="s">
        <v>58</v>
      </c>
      <c r="P135" t="s">
        <v>59</v>
      </c>
      <c r="Q135" t="s">
        <v>664</v>
      </c>
      <c r="R135" s="2">
        <v>604.28</v>
      </c>
      <c r="S135">
        <v>3</v>
      </c>
      <c r="T135" s="3">
        <v>0.3</v>
      </c>
      <c r="U135" s="2">
        <v>9.84</v>
      </c>
    </row>
    <row r="136" spans="1:21" x14ac:dyDescent="0.35">
      <c r="A136">
        <v>344</v>
      </c>
      <c r="B136" t="s">
        <v>665</v>
      </c>
      <c r="C136" s="1">
        <v>44838</v>
      </c>
      <c r="D136" s="1">
        <v>44841</v>
      </c>
      <c r="E136" t="s">
        <v>34</v>
      </c>
      <c r="F136" t="s">
        <v>666</v>
      </c>
      <c r="G136" t="s">
        <v>667</v>
      </c>
      <c r="H136" t="s">
        <v>25</v>
      </c>
      <c r="I136" t="s">
        <v>26</v>
      </c>
      <c r="J136" t="s">
        <v>27</v>
      </c>
      <c r="K136" t="s">
        <v>27</v>
      </c>
      <c r="L136">
        <v>91494</v>
      </c>
      <c r="M136" t="s">
        <v>28</v>
      </c>
      <c r="N136" t="s">
        <v>668</v>
      </c>
      <c r="O136" t="s">
        <v>30</v>
      </c>
      <c r="P136" t="s">
        <v>176</v>
      </c>
      <c r="Q136" t="s">
        <v>669</v>
      </c>
      <c r="R136" s="2">
        <v>65.64</v>
      </c>
      <c r="S136">
        <v>5</v>
      </c>
      <c r="T136" s="3">
        <v>0.3</v>
      </c>
      <c r="U136" s="2">
        <v>0.79</v>
      </c>
    </row>
    <row r="137" spans="1:21" x14ac:dyDescent="0.35">
      <c r="A137">
        <v>480</v>
      </c>
      <c r="B137" t="s">
        <v>670</v>
      </c>
      <c r="C137" s="1">
        <v>44838</v>
      </c>
      <c r="D137" s="1">
        <v>44842</v>
      </c>
      <c r="E137" t="s">
        <v>45</v>
      </c>
      <c r="F137" t="s">
        <v>671</v>
      </c>
      <c r="G137" t="s">
        <v>672</v>
      </c>
      <c r="H137" t="s">
        <v>25</v>
      </c>
      <c r="I137" t="s">
        <v>26</v>
      </c>
      <c r="J137" t="s">
        <v>204</v>
      </c>
      <c r="K137" t="s">
        <v>204</v>
      </c>
      <c r="L137">
        <v>50077</v>
      </c>
      <c r="M137" t="s">
        <v>39</v>
      </c>
      <c r="N137" t="s">
        <v>673</v>
      </c>
      <c r="O137" t="s">
        <v>41</v>
      </c>
      <c r="P137" t="s">
        <v>170</v>
      </c>
      <c r="Q137" t="s">
        <v>171</v>
      </c>
      <c r="R137" s="2">
        <v>15.71</v>
      </c>
      <c r="S137">
        <v>3</v>
      </c>
      <c r="T137" s="3">
        <v>0.5</v>
      </c>
      <c r="U137" s="2">
        <v>-1.49</v>
      </c>
    </row>
    <row r="138" spans="1:21" x14ac:dyDescent="0.35">
      <c r="A138">
        <v>401</v>
      </c>
      <c r="B138" t="s">
        <v>674</v>
      </c>
      <c r="C138" s="1">
        <v>44841</v>
      </c>
      <c r="D138" s="1">
        <v>44843</v>
      </c>
      <c r="E138" t="s">
        <v>34</v>
      </c>
      <c r="F138" t="s">
        <v>675</v>
      </c>
      <c r="G138" t="s">
        <v>676</v>
      </c>
      <c r="H138" t="s">
        <v>37</v>
      </c>
      <c r="I138" t="s">
        <v>26</v>
      </c>
      <c r="J138" t="s">
        <v>162</v>
      </c>
      <c r="K138" t="s">
        <v>162</v>
      </c>
      <c r="L138">
        <v>57708</v>
      </c>
      <c r="M138" t="s">
        <v>28</v>
      </c>
      <c r="N138" t="s">
        <v>677</v>
      </c>
      <c r="O138" t="s">
        <v>58</v>
      </c>
      <c r="P138" t="s">
        <v>307</v>
      </c>
      <c r="Q138" t="s">
        <v>678</v>
      </c>
      <c r="R138" s="2">
        <v>419.78</v>
      </c>
      <c r="S138">
        <v>1</v>
      </c>
      <c r="T138" s="3">
        <v>0.4</v>
      </c>
      <c r="U138" s="2">
        <v>-13.68</v>
      </c>
    </row>
    <row r="139" spans="1:21" x14ac:dyDescent="0.35">
      <c r="A139">
        <v>328</v>
      </c>
      <c r="B139" t="s">
        <v>679</v>
      </c>
      <c r="C139" s="1">
        <v>44844</v>
      </c>
      <c r="D139" s="1">
        <v>44846</v>
      </c>
      <c r="E139" t="s">
        <v>34</v>
      </c>
      <c r="F139" t="s">
        <v>680</v>
      </c>
      <c r="G139" t="s">
        <v>681</v>
      </c>
      <c r="H139" t="s">
        <v>54</v>
      </c>
      <c r="I139" t="s">
        <v>26</v>
      </c>
      <c r="J139" t="s">
        <v>181</v>
      </c>
      <c r="K139" t="s">
        <v>181</v>
      </c>
      <c r="L139">
        <v>41406</v>
      </c>
      <c r="M139" t="s">
        <v>65</v>
      </c>
      <c r="N139" t="s">
        <v>682</v>
      </c>
      <c r="O139" t="s">
        <v>58</v>
      </c>
      <c r="P139" t="s">
        <v>89</v>
      </c>
      <c r="Q139" t="s">
        <v>683</v>
      </c>
      <c r="R139" s="2">
        <v>8.52</v>
      </c>
      <c r="S139">
        <v>6</v>
      </c>
      <c r="T139" s="3">
        <v>0.1</v>
      </c>
      <c r="U139" s="2">
        <v>2.02</v>
      </c>
    </row>
    <row r="140" spans="1:21" x14ac:dyDescent="0.35">
      <c r="A140">
        <v>199</v>
      </c>
      <c r="B140" t="s">
        <v>684</v>
      </c>
      <c r="C140" s="1">
        <v>44845</v>
      </c>
      <c r="D140" s="1">
        <v>44849</v>
      </c>
      <c r="E140" t="s">
        <v>22</v>
      </c>
      <c r="F140" t="s">
        <v>685</v>
      </c>
      <c r="G140" t="s">
        <v>686</v>
      </c>
      <c r="H140" t="s">
        <v>37</v>
      </c>
      <c r="I140" t="s">
        <v>26</v>
      </c>
      <c r="J140" t="s">
        <v>181</v>
      </c>
      <c r="K140" t="s">
        <v>181</v>
      </c>
      <c r="L140">
        <v>92289</v>
      </c>
      <c r="M140" t="s">
        <v>65</v>
      </c>
      <c r="N140" t="s">
        <v>687</v>
      </c>
      <c r="O140" t="s">
        <v>41</v>
      </c>
      <c r="P140" t="s">
        <v>170</v>
      </c>
      <c r="Q140" t="s">
        <v>356</v>
      </c>
      <c r="R140" s="2">
        <v>77.17</v>
      </c>
      <c r="S140">
        <v>5</v>
      </c>
      <c r="T140" s="3">
        <v>0.2</v>
      </c>
      <c r="U140" s="2">
        <v>4.4400000000000004</v>
      </c>
    </row>
    <row r="141" spans="1:21" x14ac:dyDescent="0.35">
      <c r="A141">
        <v>469</v>
      </c>
      <c r="B141" t="s">
        <v>688</v>
      </c>
      <c r="C141" s="1">
        <v>44849</v>
      </c>
      <c r="D141" s="1">
        <v>44853</v>
      </c>
      <c r="E141" t="s">
        <v>34</v>
      </c>
      <c r="F141" t="s">
        <v>689</v>
      </c>
      <c r="G141" t="s">
        <v>161</v>
      </c>
      <c r="H141" t="s">
        <v>54</v>
      </c>
      <c r="I141" t="s">
        <v>26</v>
      </c>
      <c r="J141" t="s">
        <v>38</v>
      </c>
      <c r="K141" t="s">
        <v>38</v>
      </c>
      <c r="L141">
        <v>99520</v>
      </c>
      <c r="M141" t="s">
        <v>39</v>
      </c>
      <c r="N141" t="s">
        <v>690</v>
      </c>
      <c r="O141" t="s">
        <v>30</v>
      </c>
      <c r="P141" t="s">
        <v>157</v>
      </c>
      <c r="Q141" t="s">
        <v>691</v>
      </c>
      <c r="R141" s="2">
        <v>109.3</v>
      </c>
      <c r="S141">
        <v>4</v>
      </c>
      <c r="T141" s="3">
        <v>0.2</v>
      </c>
      <c r="U141" s="2">
        <v>0.17</v>
      </c>
    </row>
    <row r="142" spans="1:21" x14ac:dyDescent="0.35">
      <c r="A142">
        <v>592</v>
      </c>
      <c r="B142" t="s">
        <v>692</v>
      </c>
      <c r="C142" s="1">
        <v>44849</v>
      </c>
      <c r="D142" s="1">
        <v>44852</v>
      </c>
      <c r="E142" t="s">
        <v>45</v>
      </c>
      <c r="F142" t="s">
        <v>693</v>
      </c>
      <c r="G142" t="s">
        <v>369</v>
      </c>
      <c r="H142" t="s">
        <v>25</v>
      </c>
      <c r="I142" t="s">
        <v>26</v>
      </c>
      <c r="J142" t="s">
        <v>472</v>
      </c>
      <c r="K142" t="s">
        <v>472</v>
      </c>
      <c r="L142">
        <v>77594</v>
      </c>
      <c r="M142" t="s">
        <v>56</v>
      </c>
      <c r="N142" t="s">
        <v>694</v>
      </c>
      <c r="O142" t="s">
        <v>41</v>
      </c>
      <c r="P142" t="s">
        <v>134</v>
      </c>
      <c r="Q142" t="s">
        <v>695</v>
      </c>
      <c r="R142" s="2">
        <v>14.19</v>
      </c>
      <c r="S142">
        <v>3</v>
      </c>
      <c r="T142" s="3">
        <v>0.1</v>
      </c>
      <c r="U142" s="2">
        <v>2.82</v>
      </c>
    </row>
    <row r="143" spans="1:21" x14ac:dyDescent="0.35">
      <c r="A143">
        <v>50</v>
      </c>
      <c r="B143" t="s">
        <v>696</v>
      </c>
      <c r="C143" s="1">
        <v>44850</v>
      </c>
      <c r="D143" s="1">
        <v>44851</v>
      </c>
      <c r="E143" t="s">
        <v>34</v>
      </c>
      <c r="F143" t="s">
        <v>697</v>
      </c>
      <c r="G143" t="s">
        <v>387</v>
      </c>
      <c r="H143" t="s">
        <v>54</v>
      </c>
      <c r="I143" t="s">
        <v>26</v>
      </c>
      <c r="J143" t="s">
        <v>277</v>
      </c>
      <c r="K143" t="s">
        <v>277</v>
      </c>
      <c r="L143">
        <v>24382</v>
      </c>
      <c r="M143" t="s">
        <v>56</v>
      </c>
      <c r="N143" t="s">
        <v>698</v>
      </c>
      <c r="O143" t="s">
        <v>41</v>
      </c>
      <c r="P143" t="s">
        <v>42</v>
      </c>
      <c r="Q143" t="s">
        <v>183</v>
      </c>
      <c r="R143" s="2">
        <v>142.76</v>
      </c>
      <c r="S143">
        <v>4</v>
      </c>
      <c r="T143" s="3">
        <v>0.15</v>
      </c>
      <c r="U143" s="2">
        <v>17.84</v>
      </c>
    </row>
    <row r="144" spans="1:21" x14ac:dyDescent="0.35">
      <c r="A144">
        <v>187</v>
      </c>
      <c r="B144" t="s">
        <v>699</v>
      </c>
      <c r="C144" s="1">
        <v>44851</v>
      </c>
      <c r="D144" s="1">
        <v>44856</v>
      </c>
      <c r="E144" t="s">
        <v>34</v>
      </c>
      <c r="F144" t="s">
        <v>700</v>
      </c>
      <c r="G144" t="s">
        <v>701</v>
      </c>
      <c r="H144" t="s">
        <v>25</v>
      </c>
      <c r="I144" t="s">
        <v>26</v>
      </c>
      <c r="J144" t="s">
        <v>187</v>
      </c>
      <c r="K144" t="s">
        <v>187</v>
      </c>
      <c r="L144">
        <v>95076</v>
      </c>
      <c r="M144" t="s">
        <v>39</v>
      </c>
      <c r="N144" t="s">
        <v>702</v>
      </c>
      <c r="O144" t="s">
        <v>30</v>
      </c>
      <c r="P144" t="s">
        <v>100</v>
      </c>
      <c r="Q144" t="s">
        <v>318</v>
      </c>
      <c r="R144" s="2">
        <v>288.85000000000002</v>
      </c>
      <c r="S144">
        <v>1</v>
      </c>
      <c r="T144" s="3">
        <v>0.2</v>
      </c>
      <c r="U144" s="2">
        <v>-3.7</v>
      </c>
    </row>
    <row r="145" spans="1:21" x14ac:dyDescent="0.35">
      <c r="A145">
        <v>70</v>
      </c>
      <c r="B145" t="s">
        <v>703</v>
      </c>
      <c r="C145" s="1">
        <v>44854</v>
      </c>
      <c r="D145" s="1">
        <v>44855</v>
      </c>
      <c r="E145" t="s">
        <v>34</v>
      </c>
      <c r="F145" t="s">
        <v>704</v>
      </c>
      <c r="G145" t="s">
        <v>81</v>
      </c>
      <c r="H145" t="s">
        <v>25</v>
      </c>
      <c r="I145" t="s">
        <v>26</v>
      </c>
      <c r="J145" t="s">
        <v>233</v>
      </c>
      <c r="K145" t="s">
        <v>233</v>
      </c>
      <c r="L145">
        <v>72211</v>
      </c>
      <c r="M145" t="s">
        <v>65</v>
      </c>
      <c r="N145" t="s">
        <v>705</v>
      </c>
      <c r="O145" t="s">
        <v>58</v>
      </c>
      <c r="P145" t="s">
        <v>307</v>
      </c>
      <c r="Q145" t="s">
        <v>706</v>
      </c>
      <c r="R145" s="2">
        <v>423.99</v>
      </c>
      <c r="S145">
        <v>3</v>
      </c>
      <c r="T145" s="3">
        <v>0.4</v>
      </c>
      <c r="U145" s="2">
        <v>-6.2</v>
      </c>
    </row>
    <row r="146" spans="1:21" x14ac:dyDescent="0.35">
      <c r="A146">
        <v>420</v>
      </c>
      <c r="B146" t="s">
        <v>707</v>
      </c>
      <c r="C146" s="1">
        <v>44854</v>
      </c>
      <c r="D146" s="1">
        <v>44859</v>
      </c>
      <c r="E146" t="s">
        <v>290</v>
      </c>
      <c r="F146" t="s">
        <v>708</v>
      </c>
      <c r="G146" t="s">
        <v>709</v>
      </c>
      <c r="H146" t="s">
        <v>37</v>
      </c>
      <c r="I146" t="s">
        <v>26</v>
      </c>
      <c r="J146" t="s">
        <v>48</v>
      </c>
      <c r="K146" t="s">
        <v>48</v>
      </c>
      <c r="L146">
        <v>48889</v>
      </c>
      <c r="M146" t="s">
        <v>39</v>
      </c>
      <c r="N146" t="s">
        <v>682</v>
      </c>
      <c r="O146" t="s">
        <v>30</v>
      </c>
      <c r="P146" t="s">
        <v>176</v>
      </c>
      <c r="Q146" t="s">
        <v>710</v>
      </c>
      <c r="R146" s="2">
        <v>114.04</v>
      </c>
      <c r="S146">
        <v>3</v>
      </c>
      <c r="T146" s="3">
        <v>0</v>
      </c>
      <c r="U146" s="2">
        <v>9.98</v>
      </c>
    </row>
    <row r="147" spans="1:21" x14ac:dyDescent="0.35">
      <c r="A147">
        <v>575</v>
      </c>
      <c r="B147" t="s">
        <v>711</v>
      </c>
      <c r="C147" s="1">
        <v>44854</v>
      </c>
      <c r="D147" s="1">
        <v>44859</v>
      </c>
      <c r="E147" t="s">
        <v>34</v>
      </c>
      <c r="F147" t="s">
        <v>712</v>
      </c>
      <c r="G147" t="s">
        <v>104</v>
      </c>
      <c r="H147" t="s">
        <v>25</v>
      </c>
      <c r="I147" t="s">
        <v>26</v>
      </c>
      <c r="J147" t="s">
        <v>472</v>
      </c>
      <c r="K147" t="s">
        <v>472</v>
      </c>
      <c r="L147">
        <v>65030</v>
      </c>
      <c r="M147" t="s">
        <v>56</v>
      </c>
      <c r="N147" t="s">
        <v>713</v>
      </c>
      <c r="O147" t="s">
        <v>41</v>
      </c>
      <c r="P147" t="s">
        <v>42</v>
      </c>
      <c r="Q147" t="s">
        <v>714</v>
      </c>
      <c r="R147" s="2">
        <v>77.16</v>
      </c>
      <c r="S147">
        <v>3</v>
      </c>
      <c r="T147" s="3">
        <v>0.15</v>
      </c>
      <c r="U147" s="2">
        <v>9.56</v>
      </c>
    </row>
    <row r="148" spans="1:21" x14ac:dyDescent="0.35">
      <c r="A148">
        <v>165</v>
      </c>
      <c r="B148" t="s">
        <v>715</v>
      </c>
      <c r="C148" s="1">
        <v>44856</v>
      </c>
      <c r="D148" s="1">
        <v>44859</v>
      </c>
      <c r="E148" t="s">
        <v>34</v>
      </c>
      <c r="F148" t="s">
        <v>716</v>
      </c>
      <c r="G148" t="s">
        <v>311</v>
      </c>
      <c r="H148" t="s">
        <v>25</v>
      </c>
      <c r="I148" t="s">
        <v>26</v>
      </c>
      <c r="J148" t="s">
        <v>187</v>
      </c>
      <c r="K148" t="s">
        <v>187</v>
      </c>
      <c r="L148">
        <v>40750</v>
      </c>
      <c r="M148" t="s">
        <v>39</v>
      </c>
      <c r="N148" t="s">
        <v>717</v>
      </c>
      <c r="O148" t="s">
        <v>58</v>
      </c>
      <c r="P148" t="s">
        <v>112</v>
      </c>
      <c r="Q148" t="s">
        <v>718</v>
      </c>
      <c r="R148" s="2">
        <v>45.91</v>
      </c>
      <c r="S148">
        <v>1</v>
      </c>
      <c r="T148" s="3">
        <v>0.2</v>
      </c>
      <c r="U148" s="2">
        <v>4.9400000000000004</v>
      </c>
    </row>
    <row r="149" spans="1:21" x14ac:dyDescent="0.35">
      <c r="A149">
        <v>203</v>
      </c>
      <c r="B149" t="s">
        <v>719</v>
      </c>
      <c r="C149" s="1">
        <v>44856</v>
      </c>
      <c r="D149" s="1">
        <v>44858</v>
      </c>
      <c r="E149" t="s">
        <v>45</v>
      </c>
      <c r="F149" t="s">
        <v>720</v>
      </c>
      <c r="G149" t="s">
        <v>721</v>
      </c>
      <c r="H149" t="s">
        <v>37</v>
      </c>
      <c r="I149" t="s">
        <v>26</v>
      </c>
      <c r="J149" t="s">
        <v>168</v>
      </c>
      <c r="K149" t="s">
        <v>168</v>
      </c>
      <c r="L149">
        <v>57195</v>
      </c>
      <c r="M149" t="s">
        <v>28</v>
      </c>
      <c r="N149" t="s">
        <v>449</v>
      </c>
      <c r="O149" t="s">
        <v>58</v>
      </c>
      <c r="P149" t="s">
        <v>59</v>
      </c>
      <c r="Q149" t="s">
        <v>722</v>
      </c>
      <c r="R149" s="2">
        <v>399.65</v>
      </c>
      <c r="S149">
        <v>2</v>
      </c>
      <c r="T149" s="3">
        <v>0.05</v>
      </c>
      <c r="U149" s="2">
        <v>80.02</v>
      </c>
    </row>
    <row r="150" spans="1:21" x14ac:dyDescent="0.35">
      <c r="A150">
        <v>559</v>
      </c>
      <c r="B150" t="s">
        <v>723</v>
      </c>
      <c r="C150" s="1">
        <v>44857</v>
      </c>
      <c r="D150" s="1">
        <v>44861</v>
      </c>
      <c r="E150" t="s">
        <v>34</v>
      </c>
      <c r="F150" t="s">
        <v>724</v>
      </c>
      <c r="G150" t="s">
        <v>725</v>
      </c>
      <c r="H150" t="s">
        <v>25</v>
      </c>
      <c r="I150" t="s">
        <v>26</v>
      </c>
      <c r="J150" t="s">
        <v>472</v>
      </c>
      <c r="K150" t="s">
        <v>472</v>
      </c>
      <c r="L150">
        <v>73822</v>
      </c>
      <c r="M150" t="s">
        <v>56</v>
      </c>
      <c r="N150" t="s">
        <v>726</v>
      </c>
      <c r="O150" t="s">
        <v>30</v>
      </c>
      <c r="P150" t="s">
        <v>157</v>
      </c>
      <c r="Q150" t="s">
        <v>727</v>
      </c>
      <c r="R150" s="2">
        <v>133.44999999999999</v>
      </c>
      <c r="S150">
        <v>1</v>
      </c>
      <c r="T150" s="3">
        <v>0.3</v>
      </c>
      <c r="U150" s="2">
        <v>-1.83</v>
      </c>
    </row>
    <row r="151" spans="1:21" x14ac:dyDescent="0.35">
      <c r="A151">
        <v>290</v>
      </c>
      <c r="B151" t="s">
        <v>728</v>
      </c>
      <c r="C151" s="1">
        <v>44857</v>
      </c>
      <c r="D151" s="1">
        <v>44860</v>
      </c>
      <c r="E151" t="s">
        <v>34</v>
      </c>
      <c r="F151" t="s">
        <v>729</v>
      </c>
      <c r="G151" t="s">
        <v>730</v>
      </c>
      <c r="H151" t="s">
        <v>25</v>
      </c>
      <c r="I151" t="s">
        <v>26</v>
      </c>
      <c r="J151" t="s">
        <v>139</v>
      </c>
      <c r="K151" t="s">
        <v>139</v>
      </c>
      <c r="L151">
        <v>10901</v>
      </c>
      <c r="M151" t="s">
        <v>65</v>
      </c>
      <c r="N151" t="s">
        <v>731</v>
      </c>
      <c r="O151" t="s">
        <v>41</v>
      </c>
      <c r="P151" t="s">
        <v>73</v>
      </c>
      <c r="Q151" t="s">
        <v>732</v>
      </c>
      <c r="R151" s="2">
        <v>28.49</v>
      </c>
      <c r="S151">
        <v>1</v>
      </c>
      <c r="T151" s="3">
        <v>0.15</v>
      </c>
      <c r="U151" s="2">
        <v>4.5</v>
      </c>
    </row>
    <row r="152" spans="1:21" x14ac:dyDescent="0.35">
      <c r="A152">
        <v>96</v>
      </c>
      <c r="B152" t="s">
        <v>733</v>
      </c>
      <c r="C152" s="1">
        <v>44866</v>
      </c>
      <c r="D152" s="1">
        <v>44869</v>
      </c>
      <c r="E152" t="s">
        <v>34</v>
      </c>
      <c r="F152" t="s">
        <v>734</v>
      </c>
      <c r="G152" t="s">
        <v>369</v>
      </c>
      <c r="H152" t="s">
        <v>37</v>
      </c>
      <c r="I152" t="s">
        <v>26</v>
      </c>
      <c r="J152" t="s">
        <v>193</v>
      </c>
      <c r="K152" t="s">
        <v>193</v>
      </c>
      <c r="L152">
        <v>31636</v>
      </c>
      <c r="M152" t="s">
        <v>39</v>
      </c>
      <c r="N152" t="s">
        <v>735</v>
      </c>
      <c r="O152" t="s">
        <v>30</v>
      </c>
      <c r="P152" t="s">
        <v>157</v>
      </c>
      <c r="Q152" t="s">
        <v>736</v>
      </c>
      <c r="R152" s="2">
        <v>151.75</v>
      </c>
      <c r="S152">
        <v>2</v>
      </c>
      <c r="T152" s="3">
        <v>0.15</v>
      </c>
      <c r="U152" s="2">
        <v>16</v>
      </c>
    </row>
    <row r="153" spans="1:21" x14ac:dyDescent="0.35">
      <c r="A153">
        <v>157</v>
      </c>
      <c r="B153" t="s">
        <v>737</v>
      </c>
      <c r="C153" s="1">
        <v>44866</v>
      </c>
      <c r="D153" s="1">
        <v>44869</v>
      </c>
      <c r="E153" t="s">
        <v>34</v>
      </c>
      <c r="F153" t="s">
        <v>738</v>
      </c>
      <c r="G153" t="s">
        <v>354</v>
      </c>
      <c r="H153" t="s">
        <v>54</v>
      </c>
      <c r="I153" t="s">
        <v>26</v>
      </c>
      <c r="J153" t="s">
        <v>181</v>
      </c>
      <c r="K153" t="s">
        <v>181</v>
      </c>
      <c r="L153">
        <v>10358</v>
      </c>
      <c r="M153" t="s">
        <v>65</v>
      </c>
      <c r="N153" t="s">
        <v>739</v>
      </c>
      <c r="O153" t="s">
        <v>58</v>
      </c>
      <c r="P153" t="s">
        <v>307</v>
      </c>
      <c r="Q153" t="s">
        <v>740</v>
      </c>
      <c r="R153" s="2">
        <v>53.98</v>
      </c>
      <c r="S153">
        <v>3</v>
      </c>
      <c r="T153" s="3">
        <v>0.05</v>
      </c>
      <c r="U153" s="2">
        <v>18.84</v>
      </c>
    </row>
    <row r="154" spans="1:21" x14ac:dyDescent="0.35">
      <c r="A154">
        <v>284</v>
      </c>
      <c r="B154" t="s">
        <v>741</v>
      </c>
      <c r="C154" s="1">
        <v>44867</v>
      </c>
      <c r="D154" s="1">
        <v>44869</v>
      </c>
      <c r="E154" t="s">
        <v>34</v>
      </c>
      <c r="F154" t="s">
        <v>742</v>
      </c>
      <c r="G154" t="s">
        <v>743</v>
      </c>
      <c r="H154" t="s">
        <v>25</v>
      </c>
      <c r="I154" t="s">
        <v>26</v>
      </c>
      <c r="J154" t="s">
        <v>139</v>
      </c>
      <c r="K154" t="s">
        <v>139</v>
      </c>
      <c r="L154">
        <v>28610</v>
      </c>
      <c r="M154" t="s">
        <v>65</v>
      </c>
      <c r="N154" t="s">
        <v>744</v>
      </c>
      <c r="O154" t="s">
        <v>58</v>
      </c>
      <c r="P154" t="s">
        <v>112</v>
      </c>
      <c r="Q154" t="s">
        <v>745</v>
      </c>
      <c r="R154" s="2">
        <v>64.260000000000005</v>
      </c>
      <c r="S154">
        <v>6</v>
      </c>
      <c r="T154" s="3">
        <v>0.2</v>
      </c>
      <c r="U154" s="2">
        <v>12.14</v>
      </c>
    </row>
    <row r="155" spans="1:21" x14ac:dyDescent="0.35">
      <c r="A155">
        <v>517</v>
      </c>
      <c r="B155" t="s">
        <v>746</v>
      </c>
      <c r="C155" s="1">
        <v>44869</v>
      </c>
      <c r="D155" s="1">
        <v>44873</v>
      </c>
      <c r="E155" t="s">
        <v>45</v>
      </c>
      <c r="F155" t="s">
        <v>747</v>
      </c>
      <c r="G155" t="s">
        <v>471</v>
      </c>
      <c r="H155" t="s">
        <v>37</v>
      </c>
      <c r="I155" t="s">
        <v>26</v>
      </c>
      <c r="J155" t="s">
        <v>127</v>
      </c>
      <c r="K155" t="s">
        <v>127</v>
      </c>
      <c r="L155">
        <v>92001</v>
      </c>
      <c r="M155" t="s">
        <v>56</v>
      </c>
      <c r="N155" t="s">
        <v>748</v>
      </c>
      <c r="O155" t="s">
        <v>58</v>
      </c>
      <c r="P155" t="s">
        <v>59</v>
      </c>
      <c r="Q155" t="s">
        <v>749</v>
      </c>
      <c r="R155" s="2">
        <v>515.27</v>
      </c>
      <c r="S155">
        <v>5</v>
      </c>
      <c r="T155" s="3">
        <v>0.3</v>
      </c>
      <c r="U155" s="2">
        <v>-0.57999999999999996</v>
      </c>
    </row>
    <row r="156" spans="1:21" x14ac:dyDescent="0.35">
      <c r="A156">
        <v>234</v>
      </c>
      <c r="B156" t="s">
        <v>750</v>
      </c>
      <c r="C156" s="1">
        <v>44869</v>
      </c>
      <c r="D156" s="1">
        <v>44873</v>
      </c>
      <c r="E156" t="s">
        <v>34</v>
      </c>
      <c r="F156" t="s">
        <v>751</v>
      </c>
      <c r="G156" t="s">
        <v>186</v>
      </c>
      <c r="H156" t="s">
        <v>54</v>
      </c>
      <c r="I156" t="s">
        <v>26</v>
      </c>
      <c r="J156" t="s">
        <v>233</v>
      </c>
      <c r="K156" t="s">
        <v>233</v>
      </c>
      <c r="L156">
        <v>61148</v>
      </c>
      <c r="M156" t="s">
        <v>65</v>
      </c>
      <c r="N156" t="s">
        <v>752</v>
      </c>
      <c r="O156" t="s">
        <v>30</v>
      </c>
      <c r="P156" t="s">
        <v>31</v>
      </c>
      <c r="Q156" t="s">
        <v>753</v>
      </c>
      <c r="R156" s="2">
        <v>284.41000000000003</v>
      </c>
      <c r="S156">
        <v>7</v>
      </c>
      <c r="T156" s="3">
        <v>0.2</v>
      </c>
      <c r="U156" s="2">
        <v>8.07</v>
      </c>
    </row>
    <row r="157" spans="1:21" x14ac:dyDescent="0.35">
      <c r="A157">
        <v>240</v>
      </c>
      <c r="B157" t="s">
        <v>754</v>
      </c>
      <c r="C157" s="1">
        <v>44869</v>
      </c>
      <c r="D157" s="1">
        <v>44873</v>
      </c>
      <c r="E157" t="s">
        <v>34</v>
      </c>
      <c r="F157" t="s">
        <v>755</v>
      </c>
      <c r="G157" t="s">
        <v>756</v>
      </c>
      <c r="H157" t="s">
        <v>54</v>
      </c>
      <c r="I157" t="s">
        <v>26</v>
      </c>
      <c r="J157" t="s">
        <v>64</v>
      </c>
      <c r="K157" t="s">
        <v>64</v>
      </c>
      <c r="L157">
        <v>58003</v>
      </c>
      <c r="M157" t="s">
        <v>65</v>
      </c>
      <c r="N157" t="s">
        <v>757</v>
      </c>
      <c r="O157" t="s">
        <v>41</v>
      </c>
      <c r="P157" t="s">
        <v>73</v>
      </c>
      <c r="Q157" t="s">
        <v>758</v>
      </c>
      <c r="R157" s="2">
        <v>67.61</v>
      </c>
      <c r="S157">
        <v>3</v>
      </c>
      <c r="T157" s="3">
        <v>0.3</v>
      </c>
      <c r="U157" s="2">
        <v>2.35</v>
      </c>
    </row>
    <row r="158" spans="1:21" x14ac:dyDescent="0.35">
      <c r="A158">
        <v>565</v>
      </c>
      <c r="B158" t="s">
        <v>759</v>
      </c>
      <c r="C158" s="1">
        <v>44870</v>
      </c>
      <c r="D158" s="1">
        <v>44872</v>
      </c>
      <c r="E158" t="s">
        <v>45</v>
      </c>
      <c r="F158" t="s">
        <v>760</v>
      </c>
      <c r="G158" t="s">
        <v>359</v>
      </c>
      <c r="H158" t="s">
        <v>25</v>
      </c>
      <c r="I158" t="s">
        <v>26</v>
      </c>
      <c r="J158" t="s">
        <v>472</v>
      </c>
      <c r="K158" t="s">
        <v>472</v>
      </c>
      <c r="L158">
        <v>82723</v>
      </c>
      <c r="M158" t="s">
        <v>56</v>
      </c>
      <c r="N158" t="s">
        <v>761</v>
      </c>
      <c r="O158" t="s">
        <v>58</v>
      </c>
      <c r="P158" t="s">
        <v>59</v>
      </c>
      <c r="Q158" t="s">
        <v>762</v>
      </c>
      <c r="R158" s="2">
        <v>231.35</v>
      </c>
      <c r="S158">
        <v>4</v>
      </c>
      <c r="T158" s="3">
        <v>0.05</v>
      </c>
      <c r="U158" s="2">
        <v>59.84</v>
      </c>
    </row>
    <row r="159" spans="1:21" x14ac:dyDescent="0.35">
      <c r="A159">
        <v>289</v>
      </c>
      <c r="B159" t="s">
        <v>763</v>
      </c>
      <c r="C159" s="1">
        <v>44874</v>
      </c>
      <c r="D159" s="1">
        <v>44876</v>
      </c>
      <c r="E159" t="s">
        <v>45</v>
      </c>
      <c r="F159" t="s">
        <v>764</v>
      </c>
      <c r="G159" t="s">
        <v>765</v>
      </c>
      <c r="H159" t="s">
        <v>25</v>
      </c>
      <c r="I159" t="s">
        <v>26</v>
      </c>
      <c r="J159" t="s">
        <v>204</v>
      </c>
      <c r="K159" t="s">
        <v>204</v>
      </c>
      <c r="L159">
        <v>91720</v>
      </c>
      <c r="M159" t="s">
        <v>39</v>
      </c>
      <c r="N159" t="s">
        <v>766</v>
      </c>
      <c r="O159" t="s">
        <v>41</v>
      </c>
      <c r="P159" t="s">
        <v>106</v>
      </c>
      <c r="Q159" t="s">
        <v>767</v>
      </c>
      <c r="R159" s="2">
        <v>139.30000000000001</v>
      </c>
      <c r="S159">
        <v>6</v>
      </c>
      <c r="T159" s="3">
        <v>0.1</v>
      </c>
      <c r="U159" s="2">
        <v>14.2</v>
      </c>
    </row>
    <row r="160" spans="1:21" x14ac:dyDescent="0.35">
      <c r="A160">
        <v>377</v>
      </c>
      <c r="B160" t="s">
        <v>768</v>
      </c>
      <c r="C160" s="1">
        <v>44874</v>
      </c>
      <c r="D160" s="1">
        <v>44878</v>
      </c>
      <c r="E160" t="s">
        <v>22</v>
      </c>
      <c r="F160" t="s">
        <v>769</v>
      </c>
      <c r="G160" t="s">
        <v>364</v>
      </c>
      <c r="H160" t="s">
        <v>37</v>
      </c>
      <c r="I160" t="s">
        <v>26</v>
      </c>
      <c r="J160" t="s">
        <v>139</v>
      </c>
      <c r="K160" t="s">
        <v>139</v>
      </c>
      <c r="L160">
        <v>63803</v>
      </c>
      <c r="M160" t="s">
        <v>65</v>
      </c>
      <c r="N160" t="s">
        <v>579</v>
      </c>
      <c r="O160" t="s">
        <v>41</v>
      </c>
      <c r="P160" t="s">
        <v>73</v>
      </c>
      <c r="Q160" t="s">
        <v>770</v>
      </c>
      <c r="R160" s="2">
        <v>38.32</v>
      </c>
      <c r="S160">
        <v>3</v>
      </c>
      <c r="T160" s="3">
        <v>0.2</v>
      </c>
      <c r="U160" s="2">
        <v>1.76</v>
      </c>
    </row>
    <row r="161" spans="1:21" x14ac:dyDescent="0.35">
      <c r="A161">
        <v>429</v>
      </c>
      <c r="B161" t="s">
        <v>771</v>
      </c>
      <c r="C161" s="1">
        <v>44875</v>
      </c>
      <c r="D161" s="1">
        <v>44876</v>
      </c>
      <c r="E161" t="s">
        <v>34</v>
      </c>
      <c r="F161" t="s">
        <v>772</v>
      </c>
      <c r="G161" t="s">
        <v>773</v>
      </c>
      <c r="H161" t="s">
        <v>25</v>
      </c>
      <c r="I161" t="s">
        <v>26</v>
      </c>
      <c r="J161" t="s">
        <v>181</v>
      </c>
      <c r="K161" t="s">
        <v>181</v>
      </c>
      <c r="L161">
        <v>89468</v>
      </c>
      <c r="M161" t="s">
        <v>65</v>
      </c>
      <c r="N161" t="s">
        <v>774</v>
      </c>
      <c r="O161" t="s">
        <v>58</v>
      </c>
      <c r="P161" t="s">
        <v>307</v>
      </c>
      <c r="Q161" t="s">
        <v>678</v>
      </c>
      <c r="R161" s="2">
        <v>137.41</v>
      </c>
      <c r="S161">
        <v>3</v>
      </c>
      <c r="T161" s="3">
        <v>0.2</v>
      </c>
      <c r="U161" s="2">
        <v>16.489999999999998</v>
      </c>
    </row>
    <row r="162" spans="1:21" x14ac:dyDescent="0.35">
      <c r="A162">
        <v>131</v>
      </c>
      <c r="B162" t="s">
        <v>775</v>
      </c>
      <c r="C162" s="1">
        <v>44875</v>
      </c>
      <c r="D162" s="1">
        <v>44881</v>
      </c>
      <c r="E162" t="s">
        <v>34</v>
      </c>
      <c r="F162" t="s">
        <v>776</v>
      </c>
      <c r="G162" t="s">
        <v>267</v>
      </c>
      <c r="H162" t="s">
        <v>25</v>
      </c>
      <c r="I162" t="s">
        <v>26</v>
      </c>
      <c r="J162" t="s">
        <v>64</v>
      </c>
      <c r="K162" t="s">
        <v>64</v>
      </c>
      <c r="L162">
        <v>98553</v>
      </c>
      <c r="M162" t="s">
        <v>65</v>
      </c>
      <c r="N162" t="s">
        <v>777</v>
      </c>
      <c r="O162" t="s">
        <v>41</v>
      </c>
      <c r="P162" t="s">
        <v>106</v>
      </c>
      <c r="Q162" t="s">
        <v>778</v>
      </c>
      <c r="R162" s="2">
        <v>66.97</v>
      </c>
      <c r="S162">
        <v>1</v>
      </c>
      <c r="T162" s="3">
        <v>0</v>
      </c>
      <c r="U162" s="2">
        <v>17.46</v>
      </c>
    </row>
    <row r="163" spans="1:21" x14ac:dyDescent="0.35">
      <c r="A163">
        <v>47</v>
      </c>
      <c r="B163" t="s">
        <v>779</v>
      </c>
      <c r="C163" s="1">
        <v>44879</v>
      </c>
      <c r="D163" s="1">
        <v>44883</v>
      </c>
      <c r="E163" t="s">
        <v>34</v>
      </c>
      <c r="F163" t="s">
        <v>780</v>
      </c>
      <c r="G163" t="s">
        <v>87</v>
      </c>
      <c r="H163" t="s">
        <v>54</v>
      </c>
      <c r="I163" t="s">
        <v>26</v>
      </c>
      <c r="J163" t="s">
        <v>127</v>
      </c>
      <c r="K163" t="s">
        <v>127</v>
      </c>
      <c r="L163">
        <v>98861</v>
      </c>
      <c r="M163" t="s">
        <v>56</v>
      </c>
      <c r="N163" t="s">
        <v>505</v>
      </c>
      <c r="O163" t="s">
        <v>30</v>
      </c>
      <c r="P163" t="s">
        <v>100</v>
      </c>
      <c r="Q163" t="s">
        <v>781</v>
      </c>
      <c r="R163" s="2">
        <v>255.61</v>
      </c>
      <c r="S163">
        <v>6</v>
      </c>
      <c r="T163" s="3">
        <v>0</v>
      </c>
      <c r="U163" s="2">
        <v>51.39</v>
      </c>
    </row>
    <row r="164" spans="1:21" x14ac:dyDescent="0.35">
      <c r="A164">
        <v>520</v>
      </c>
      <c r="B164" t="s">
        <v>782</v>
      </c>
      <c r="C164" s="1">
        <v>44880</v>
      </c>
      <c r="D164" s="1">
        <v>44884</v>
      </c>
      <c r="E164" t="s">
        <v>34</v>
      </c>
      <c r="F164" t="s">
        <v>783</v>
      </c>
      <c r="G164" t="s">
        <v>500</v>
      </c>
      <c r="H164" t="s">
        <v>37</v>
      </c>
      <c r="I164" t="s">
        <v>26</v>
      </c>
      <c r="J164" t="s">
        <v>277</v>
      </c>
      <c r="K164" t="s">
        <v>277</v>
      </c>
      <c r="L164">
        <v>22150</v>
      </c>
      <c r="M164" t="s">
        <v>56</v>
      </c>
      <c r="N164" t="s">
        <v>784</v>
      </c>
      <c r="O164" t="s">
        <v>41</v>
      </c>
      <c r="P164" t="s">
        <v>73</v>
      </c>
      <c r="Q164" t="s">
        <v>785</v>
      </c>
      <c r="R164" s="2">
        <v>56.67</v>
      </c>
      <c r="S164">
        <v>2</v>
      </c>
      <c r="T164" s="3">
        <v>0</v>
      </c>
      <c r="U164" s="2">
        <v>14.48</v>
      </c>
    </row>
    <row r="165" spans="1:21" x14ac:dyDescent="0.35">
      <c r="A165">
        <v>46</v>
      </c>
      <c r="B165" t="s">
        <v>786</v>
      </c>
      <c r="C165" s="1">
        <v>44881</v>
      </c>
      <c r="D165" s="1">
        <v>44883</v>
      </c>
      <c r="E165" t="s">
        <v>45</v>
      </c>
      <c r="F165" t="s">
        <v>787</v>
      </c>
      <c r="G165" t="s">
        <v>788</v>
      </c>
      <c r="H165" t="s">
        <v>25</v>
      </c>
      <c r="I165" t="s">
        <v>26</v>
      </c>
      <c r="J165" t="s">
        <v>71</v>
      </c>
      <c r="K165" t="s">
        <v>71</v>
      </c>
      <c r="L165">
        <v>89767</v>
      </c>
      <c r="M165" t="s">
        <v>56</v>
      </c>
      <c r="N165" t="s">
        <v>789</v>
      </c>
      <c r="O165" t="s">
        <v>30</v>
      </c>
      <c r="P165" t="s">
        <v>100</v>
      </c>
      <c r="Q165" t="s">
        <v>790</v>
      </c>
      <c r="R165" s="2">
        <v>236.46</v>
      </c>
      <c r="S165">
        <v>5</v>
      </c>
      <c r="T165" s="3">
        <v>0</v>
      </c>
      <c r="U165" s="2">
        <v>34.979999999999997</v>
      </c>
    </row>
    <row r="166" spans="1:21" x14ac:dyDescent="0.35">
      <c r="A166">
        <v>310</v>
      </c>
      <c r="B166" t="s">
        <v>791</v>
      </c>
      <c r="C166" s="1">
        <v>44882</v>
      </c>
      <c r="D166" s="1">
        <v>44888</v>
      </c>
      <c r="E166" t="s">
        <v>22</v>
      </c>
      <c r="F166" t="s">
        <v>792</v>
      </c>
      <c r="G166" t="s">
        <v>793</v>
      </c>
      <c r="H166" t="s">
        <v>25</v>
      </c>
      <c r="I166" t="s">
        <v>26</v>
      </c>
      <c r="J166" t="s">
        <v>193</v>
      </c>
      <c r="K166" t="s">
        <v>193</v>
      </c>
      <c r="L166">
        <v>14011</v>
      </c>
      <c r="M166" t="s">
        <v>39</v>
      </c>
      <c r="N166" t="s">
        <v>254</v>
      </c>
      <c r="O166" t="s">
        <v>58</v>
      </c>
      <c r="P166" t="s">
        <v>89</v>
      </c>
      <c r="Q166" t="s">
        <v>794</v>
      </c>
      <c r="R166" s="2">
        <v>592.13</v>
      </c>
      <c r="S166">
        <v>3</v>
      </c>
      <c r="T166" s="3">
        <v>0</v>
      </c>
      <c r="U166" s="2">
        <v>152.82</v>
      </c>
    </row>
    <row r="167" spans="1:21" x14ac:dyDescent="0.35">
      <c r="A167">
        <v>432</v>
      </c>
      <c r="B167" t="s">
        <v>795</v>
      </c>
      <c r="C167" s="1">
        <v>44882</v>
      </c>
      <c r="D167" s="1">
        <v>44884</v>
      </c>
      <c r="E167" t="s">
        <v>34</v>
      </c>
      <c r="F167" t="s">
        <v>796</v>
      </c>
      <c r="G167" t="s">
        <v>797</v>
      </c>
      <c r="H167" t="s">
        <v>37</v>
      </c>
      <c r="I167" t="s">
        <v>26</v>
      </c>
      <c r="J167" t="s">
        <v>193</v>
      </c>
      <c r="K167" t="s">
        <v>193</v>
      </c>
      <c r="L167">
        <v>95853</v>
      </c>
      <c r="M167" t="s">
        <v>39</v>
      </c>
      <c r="N167" t="s">
        <v>798</v>
      </c>
      <c r="O167" t="s">
        <v>30</v>
      </c>
      <c r="P167" t="s">
        <v>31</v>
      </c>
      <c r="Q167" t="s">
        <v>294</v>
      </c>
      <c r="R167" s="2">
        <v>290.67</v>
      </c>
      <c r="S167">
        <v>3</v>
      </c>
      <c r="T167" s="3">
        <v>0.05</v>
      </c>
      <c r="U167" s="2">
        <v>38.72</v>
      </c>
    </row>
    <row r="168" spans="1:21" x14ac:dyDescent="0.35">
      <c r="A168">
        <v>383</v>
      </c>
      <c r="B168" t="s">
        <v>799</v>
      </c>
      <c r="C168" s="1">
        <v>44884</v>
      </c>
      <c r="D168" s="1">
        <v>44887</v>
      </c>
      <c r="E168" t="s">
        <v>34</v>
      </c>
      <c r="F168" t="s">
        <v>800</v>
      </c>
      <c r="G168" t="s">
        <v>721</v>
      </c>
      <c r="H168" t="s">
        <v>54</v>
      </c>
      <c r="I168" t="s">
        <v>26</v>
      </c>
      <c r="J168" t="s">
        <v>233</v>
      </c>
      <c r="K168" t="s">
        <v>233</v>
      </c>
      <c r="L168">
        <v>42463</v>
      </c>
      <c r="M168" t="s">
        <v>65</v>
      </c>
      <c r="N168" t="s">
        <v>801</v>
      </c>
      <c r="O168" t="s">
        <v>30</v>
      </c>
      <c r="P168" t="s">
        <v>31</v>
      </c>
      <c r="Q168" t="s">
        <v>802</v>
      </c>
      <c r="R168" s="2">
        <v>67.819999999999993</v>
      </c>
      <c r="S168">
        <v>3</v>
      </c>
      <c r="T168" s="3">
        <v>0</v>
      </c>
      <c r="U168" s="2">
        <v>9.8699999999999992</v>
      </c>
    </row>
    <row r="169" spans="1:21" x14ac:dyDescent="0.35">
      <c r="A169">
        <v>405</v>
      </c>
      <c r="B169" t="s">
        <v>803</v>
      </c>
      <c r="C169" s="1">
        <v>44885</v>
      </c>
      <c r="D169" s="1">
        <v>44888</v>
      </c>
      <c r="E169" t="s">
        <v>34</v>
      </c>
      <c r="F169" t="s">
        <v>804</v>
      </c>
      <c r="G169" t="s">
        <v>402</v>
      </c>
      <c r="H169" t="s">
        <v>54</v>
      </c>
      <c r="I169" t="s">
        <v>26</v>
      </c>
      <c r="J169" t="s">
        <v>193</v>
      </c>
      <c r="K169" t="s">
        <v>193</v>
      </c>
      <c r="L169">
        <v>33290</v>
      </c>
      <c r="M169" t="s">
        <v>39</v>
      </c>
      <c r="N169" t="s">
        <v>805</v>
      </c>
      <c r="O169" t="s">
        <v>58</v>
      </c>
      <c r="P169" t="s">
        <v>307</v>
      </c>
      <c r="Q169" t="s">
        <v>806</v>
      </c>
      <c r="R169" s="2">
        <v>717.61</v>
      </c>
      <c r="S169">
        <v>2</v>
      </c>
      <c r="T169" s="3">
        <v>0.3</v>
      </c>
      <c r="U169" s="2">
        <v>-64.319999999999993</v>
      </c>
    </row>
    <row r="170" spans="1:21" x14ac:dyDescent="0.35">
      <c r="A170">
        <v>297</v>
      </c>
      <c r="B170" t="s">
        <v>807</v>
      </c>
      <c r="C170" s="1">
        <v>44885</v>
      </c>
      <c r="D170" s="1">
        <v>44889</v>
      </c>
      <c r="E170" t="s">
        <v>45</v>
      </c>
      <c r="F170" t="s">
        <v>808</v>
      </c>
      <c r="G170" t="s">
        <v>340</v>
      </c>
      <c r="H170" t="s">
        <v>25</v>
      </c>
      <c r="I170" t="s">
        <v>26</v>
      </c>
      <c r="J170" t="s">
        <v>27</v>
      </c>
      <c r="K170" t="s">
        <v>27</v>
      </c>
      <c r="L170">
        <v>46561</v>
      </c>
      <c r="M170" t="s">
        <v>28</v>
      </c>
      <c r="N170" t="s">
        <v>809</v>
      </c>
      <c r="O170" t="s">
        <v>58</v>
      </c>
      <c r="P170" t="s">
        <v>307</v>
      </c>
      <c r="Q170" t="s">
        <v>810</v>
      </c>
      <c r="R170" s="2">
        <v>52.58</v>
      </c>
      <c r="S170">
        <v>7</v>
      </c>
      <c r="T170" s="3">
        <v>0.1</v>
      </c>
      <c r="U170" s="2">
        <v>7.25</v>
      </c>
    </row>
    <row r="171" spans="1:21" x14ac:dyDescent="0.35">
      <c r="A171">
        <v>353</v>
      </c>
      <c r="B171" t="s">
        <v>811</v>
      </c>
      <c r="C171" s="1">
        <v>44885</v>
      </c>
      <c r="D171" s="1">
        <v>44887</v>
      </c>
      <c r="E171" t="s">
        <v>34</v>
      </c>
      <c r="F171" t="s">
        <v>812</v>
      </c>
      <c r="G171" t="s">
        <v>813</v>
      </c>
      <c r="H171" t="s">
        <v>25</v>
      </c>
      <c r="I171" t="s">
        <v>26</v>
      </c>
      <c r="J171" t="s">
        <v>168</v>
      </c>
      <c r="K171" t="s">
        <v>168</v>
      </c>
      <c r="L171">
        <v>61024</v>
      </c>
      <c r="M171" t="s">
        <v>28</v>
      </c>
      <c r="N171" t="s">
        <v>814</v>
      </c>
      <c r="O171" t="s">
        <v>41</v>
      </c>
      <c r="P171" t="s">
        <v>134</v>
      </c>
      <c r="Q171" t="s">
        <v>815</v>
      </c>
      <c r="R171" s="2">
        <v>102.72</v>
      </c>
      <c r="S171">
        <v>6</v>
      </c>
      <c r="T171" s="3">
        <v>0</v>
      </c>
      <c r="U171" s="2">
        <v>17.03</v>
      </c>
    </row>
    <row r="172" spans="1:21" x14ac:dyDescent="0.35">
      <c r="A172">
        <v>554</v>
      </c>
      <c r="B172" t="s">
        <v>816</v>
      </c>
      <c r="C172" s="1">
        <v>44891</v>
      </c>
      <c r="D172" s="1">
        <v>44896</v>
      </c>
      <c r="E172" t="s">
        <v>34</v>
      </c>
      <c r="F172" t="s">
        <v>817</v>
      </c>
      <c r="G172" t="s">
        <v>818</v>
      </c>
      <c r="H172" t="s">
        <v>54</v>
      </c>
      <c r="I172" t="s">
        <v>26</v>
      </c>
      <c r="J172" t="s">
        <v>38</v>
      </c>
      <c r="K172" t="s">
        <v>38</v>
      </c>
      <c r="L172">
        <v>75169</v>
      </c>
      <c r="M172" t="s">
        <v>39</v>
      </c>
      <c r="N172" t="s">
        <v>819</v>
      </c>
      <c r="O172" t="s">
        <v>41</v>
      </c>
      <c r="P172" t="s">
        <v>42</v>
      </c>
      <c r="Q172" t="s">
        <v>615</v>
      </c>
      <c r="R172" s="2">
        <v>66.56</v>
      </c>
      <c r="S172">
        <v>5</v>
      </c>
      <c r="T172" s="3">
        <v>0.5</v>
      </c>
      <c r="U172" s="2">
        <v>-6.47</v>
      </c>
    </row>
    <row r="173" spans="1:21" x14ac:dyDescent="0.35">
      <c r="A173">
        <v>352</v>
      </c>
      <c r="B173" t="s">
        <v>820</v>
      </c>
      <c r="C173" s="1">
        <v>44893</v>
      </c>
      <c r="D173" s="1">
        <v>44896</v>
      </c>
      <c r="E173" t="s">
        <v>34</v>
      </c>
      <c r="F173" t="s">
        <v>821</v>
      </c>
      <c r="G173" t="s">
        <v>511</v>
      </c>
      <c r="H173" t="s">
        <v>25</v>
      </c>
      <c r="I173" t="s">
        <v>26</v>
      </c>
      <c r="J173" t="s">
        <v>139</v>
      </c>
      <c r="K173" t="s">
        <v>139</v>
      </c>
      <c r="L173">
        <v>26535</v>
      </c>
      <c r="M173" t="s">
        <v>65</v>
      </c>
      <c r="N173" t="s">
        <v>822</v>
      </c>
      <c r="O173" t="s">
        <v>41</v>
      </c>
      <c r="P173" t="s">
        <v>106</v>
      </c>
      <c r="Q173" t="s">
        <v>823</v>
      </c>
      <c r="R173" s="2">
        <v>33.869999999999997</v>
      </c>
      <c r="S173">
        <v>3</v>
      </c>
      <c r="T173" s="3">
        <v>0.1</v>
      </c>
      <c r="U173" s="2">
        <v>4.2699999999999996</v>
      </c>
    </row>
    <row r="174" spans="1:21" x14ac:dyDescent="0.35">
      <c r="A174">
        <v>522</v>
      </c>
      <c r="B174" t="s">
        <v>824</v>
      </c>
      <c r="C174" s="1">
        <v>44893</v>
      </c>
      <c r="D174" s="1">
        <v>44896</v>
      </c>
      <c r="E174" t="s">
        <v>34</v>
      </c>
      <c r="F174" t="s">
        <v>825</v>
      </c>
      <c r="G174" t="s">
        <v>826</v>
      </c>
      <c r="H174" t="s">
        <v>37</v>
      </c>
      <c r="I174" t="s">
        <v>26</v>
      </c>
      <c r="J174" t="s">
        <v>162</v>
      </c>
      <c r="K174" t="s">
        <v>162</v>
      </c>
      <c r="L174">
        <v>26661</v>
      </c>
      <c r="M174" t="s">
        <v>28</v>
      </c>
      <c r="N174" t="s">
        <v>739</v>
      </c>
      <c r="O174" t="s">
        <v>58</v>
      </c>
      <c r="P174" t="s">
        <v>89</v>
      </c>
      <c r="Q174" t="s">
        <v>827</v>
      </c>
      <c r="R174" s="2">
        <v>312.08999999999997</v>
      </c>
      <c r="S174">
        <v>2</v>
      </c>
      <c r="T174" s="3">
        <v>0.1</v>
      </c>
      <c r="U174" s="2">
        <v>42.47</v>
      </c>
    </row>
    <row r="175" spans="1:21" x14ac:dyDescent="0.35">
      <c r="A175">
        <v>481</v>
      </c>
      <c r="B175" t="s">
        <v>828</v>
      </c>
      <c r="C175" s="1">
        <v>44894</v>
      </c>
      <c r="D175" s="1">
        <v>44899</v>
      </c>
      <c r="E175" t="s">
        <v>34</v>
      </c>
      <c r="F175" t="s">
        <v>829</v>
      </c>
      <c r="G175" t="s">
        <v>562</v>
      </c>
      <c r="H175" t="s">
        <v>37</v>
      </c>
      <c r="I175" t="s">
        <v>26</v>
      </c>
      <c r="J175" t="s">
        <v>168</v>
      </c>
      <c r="K175" t="s">
        <v>168</v>
      </c>
      <c r="L175">
        <v>13770</v>
      </c>
      <c r="M175" t="s">
        <v>28</v>
      </c>
      <c r="N175" t="s">
        <v>830</v>
      </c>
      <c r="O175" t="s">
        <v>41</v>
      </c>
      <c r="P175" t="s">
        <v>151</v>
      </c>
      <c r="Q175" t="s">
        <v>446</v>
      </c>
      <c r="R175" s="2">
        <v>8</v>
      </c>
      <c r="S175">
        <v>2</v>
      </c>
      <c r="T175" s="3">
        <v>0</v>
      </c>
      <c r="U175" s="2">
        <v>1.83</v>
      </c>
    </row>
    <row r="176" spans="1:21" x14ac:dyDescent="0.35">
      <c r="A176">
        <v>213</v>
      </c>
      <c r="B176" t="s">
        <v>831</v>
      </c>
      <c r="C176" s="1">
        <v>44896</v>
      </c>
      <c r="D176" s="1">
        <v>44898</v>
      </c>
      <c r="E176" t="s">
        <v>34</v>
      </c>
      <c r="F176" t="s">
        <v>832</v>
      </c>
      <c r="G176" t="s">
        <v>725</v>
      </c>
      <c r="H176" t="s">
        <v>25</v>
      </c>
      <c r="I176" t="s">
        <v>26</v>
      </c>
      <c r="J176" t="s">
        <v>64</v>
      </c>
      <c r="K176" t="s">
        <v>64</v>
      </c>
      <c r="L176">
        <v>74925</v>
      </c>
      <c r="M176" t="s">
        <v>65</v>
      </c>
      <c r="N176" t="s">
        <v>833</v>
      </c>
      <c r="O176" t="s">
        <v>41</v>
      </c>
      <c r="P176" t="s">
        <v>42</v>
      </c>
      <c r="Q176" t="s">
        <v>78</v>
      </c>
      <c r="R176" s="2">
        <v>64.73</v>
      </c>
      <c r="S176">
        <v>4</v>
      </c>
      <c r="T176" s="3">
        <v>0.15</v>
      </c>
      <c r="U176" s="2">
        <v>11.19</v>
      </c>
    </row>
    <row r="177" spans="1:21" x14ac:dyDescent="0.35">
      <c r="A177">
        <v>41</v>
      </c>
      <c r="B177" t="s">
        <v>834</v>
      </c>
      <c r="C177" s="1">
        <v>44898</v>
      </c>
      <c r="D177" s="1">
        <v>44900</v>
      </c>
      <c r="E177" t="s">
        <v>34</v>
      </c>
      <c r="F177" t="s">
        <v>835</v>
      </c>
      <c r="G177" t="s">
        <v>402</v>
      </c>
      <c r="H177" t="s">
        <v>25</v>
      </c>
      <c r="I177" t="s">
        <v>26</v>
      </c>
      <c r="J177" t="s">
        <v>181</v>
      </c>
      <c r="K177" t="s">
        <v>181</v>
      </c>
      <c r="L177">
        <v>48638</v>
      </c>
      <c r="M177" t="s">
        <v>65</v>
      </c>
      <c r="N177" t="s">
        <v>836</v>
      </c>
      <c r="O177" t="s">
        <v>30</v>
      </c>
      <c r="P177" t="s">
        <v>176</v>
      </c>
      <c r="Q177" t="s">
        <v>837</v>
      </c>
      <c r="R177" s="2">
        <v>177.14</v>
      </c>
      <c r="S177">
        <v>6</v>
      </c>
      <c r="T177" s="3">
        <v>0.15</v>
      </c>
      <c r="U177" s="2">
        <v>19.63</v>
      </c>
    </row>
    <row r="178" spans="1:21" x14ac:dyDescent="0.35">
      <c r="A178">
        <v>202</v>
      </c>
      <c r="B178" t="s">
        <v>838</v>
      </c>
      <c r="C178" s="1">
        <v>44899</v>
      </c>
      <c r="D178" s="1">
        <v>44902</v>
      </c>
      <c r="E178" t="s">
        <v>34</v>
      </c>
      <c r="F178" t="s">
        <v>839</v>
      </c>
      <c r="G178" t="s">
        <v>392</v>
      </c>
      <c r="H178" t="s">
        <v>25</v>
      </c>
      <c r="I178" t="s">
        <v>26</v>
      </c>
      <c r="J178" t="s">
        <v>187</v>
      </c>
      <c r="K178" t="s">
        <v>187</v>
      </c>
      <c r="L178">
        <v>53516</v>
      </c>
      <c r="M178" t="s">
        <v>39</v>
      </c>
      <c r="N178" t="s">
        <v>840</v>
      </c>
      <c r="O178" t="s">
        <v>58</v>
      </c>
      <c r="P178" t="s">
        <v>112</v>
      </c>
      <c r="Q178" t="s">
        <v>841</v>
      </c>
      <c r="R178" s="2">
        <v>120.82</v>
      </c>
      <c r="S178">
        <v>3</v>
      </c>
      <c r="T178" s="3">
        <v>0.2</v>
      </c>
      <c r="U178" s="2">
        <v>17.41</v>
      </c>
    </row>
    <row r="179" spans="1:21" x14ac:dyDescent="0.35">
      <c r="A179">
        <v>5</v>
      </c>
      <c r="B179" t="s">
        <v>842</v>
      </c>
      <c r="C179" s="1">
        <v>44899</v>
      </c>
      <c r="D179" s="1">
        <v>44902</v>
      </c>
      <c r="E179" t="s">
        <v>34</v>
      </c>
      <c r="F179" t="s">
        <v>843</v>
      </c>
      <c r="G179" t="s">
        <v>844</v>
      </c>
      <c r="H179" t="s">
        <v>37</v>
      </c>
      <c r="I179" t="s">
        <v>26</v>
      </c>
      <c r="J179" t="s">
        <v>168</v>
      </c>
      <c r="K179" t="s">
        <v>168</v>
      </c>
      <c r="L179">
        <v>62251</v>
      </c>
      <c r="M179" t="s">
        <v>28</v>
      </c>
      <c r="N179" t="s">
        <v>845</v>
      </c>
      <c r="O179" t="s">
        <v>41</v>
      </c>
      <c r="P179" t="s">
        <v>73</v>
      </c>
      <c r="Q179" t="s">
        <v>846</v>
      </c>
      <c r="R179" s="2">
        <v>94.96</v>
      </c>
      <c r="S179">
        <v>1</v>
      </c>
      <c r="T179" s="3">
        <v>0.2</v>
      </c>
      <c r="U179" s="2">
        <v>9.9700000000000006</v>
      </c>
    </row>
    <row r="180" spans="1:21" x14ac:dyDescent="0.35">
      <c r="A180">
        <v>139</v>
      </c>
      <c r="B180" t="s">
        <v>847</v>
      </c>
      <c r="C180" s="1">
        <v>44899</v>
      </c>
      <c r="D180" s="1">
        <v>44903</v>
      </c>
      <c r="E180" t="s">
        <v>45</v>
      </c>
      <c r="F180" t="s">
        <v>848</v>
      </c>
      <c r="G180" t="s">
        <v>849</v>
      </c>
      <c r="H180" t="s">
        <v>37</v>
      </c>
      <c r="I180" t="s">
        <v>26</v>
      </c>
      <c r="J180" t="s">
        <v>64</v>
      </c>
      <c r="K180" t="s">
        <v>64</v>
      </c>
      <c r="L180">
        <v>77494</v>
      </c>
      <c r="M180" t="s">
        <v>65</v>
      </c>
      <c r="N180" t="s">
        <v>850</v>
      </c>
      <c r="O180" t="s">
        <v>41</v>
      </c>
      <c r="P180" t="s">
        <v>151</v>
      </c>
      <c r="Q180" t="s">
        <v>333</v>
      </c>
      <c r="R180" s="2">
        <v>42.04</v>
      </c>
      <c r="S180">
        <v>4</v>
      </c>
      <c r="T180" s="3">
        <v>0.2</v>
      </c>
      <c r="U180" s="2">
        <v>3.39</v>
      </c>
    </row>
    <row r="181" spans="1:21" x14ac:dyDescent="0.35">
      <c r="A181">
        <v>527</v>
      </c>
      <c r="B181" t="s">
        <v>851</v>
      </c>
      <c r="C181" s="1">
        <v>44902</v>
      </c>
      <c r="D181" s="1">
        <v>44903</v>
      </c>
      <c r="E181" t="s">
        <v>34</v>
      </c>
      <c r="F181" t="s">
        <v>852</v>
      </c>
      <c r="G181" t="s">
        <v>625</v>
      </c>
      <c r="H181" t="s">
        <v>25</v>
      </c>
      <c r="I181" t="s">
        <v>26</v>
      </c>
      <c r="J181" t="s">
        <v>193</v>
      </c>
      <c r="K181" t="s">
        <v>193</v>
      </c>
      <c r="L181">
        <v>58926</v>
      </c>
      <c r="M181" t="s">
        <v>39</v>
      </c>
      <c r="N181" t="s">
        <v>249</v>
      </c>
      <c r="O181" t="s">
        <v>30</v>
      </c>
      <c r="P181" t="s">
        <v>31</v>
      </c>
      <c r="Q181" t="s">
        <v>853</v>
      </c>
      <c r="R181" s="2">
        <v>79.849999999999994</v>
      </c>
      <c r="S181">
        <v>5</v>
      </c>
      <c r="T181" s="3">
        <v>0.1</v>
      </c>
      <c r="U181" s="2">
        <v>3.93</v>
      </c>
    </row>
    <row r="182" spans="1:21" x14ac:dyDescent="0.35">
      <c r="A182">
        <v>421</v>
      </c>
      <c r="B182" t="s">
        <v>854</v>
      </c>
      <c r="C182" s="1">
        <v>44905</v>
      </c>
      <c r="D182" s="1">
        <v>44909</v>
      </c>
      <c r="E182" t="s">
        <v>34</v>
      </c>
      <c r="F182" t="s">
        <v>855</v>
      </c>
      <c r="G182" t="s">
        <v>856</v>
      </c>
      <c r="H182" t="s">
        <v>25</v>
      </c>
      <c r="I182" t="s">
        <v>26</v>
      </c>
      <c r="J182" t="s">
        <v>168</v>
      </c>
      <c r="K182" t="s">
        <v>168</v>
      </c>
      <c r="L182">
        <v>52406</v>
      </c>
      <c r="M182" t="s">
        <v>28</v>
      </c>
      <c r="N182" t="s">
        <v>857</v>
      </c>
      <c r="O182" t="s">
        <v>30</v>
      </c>
      <c r="P182" t="s">
        <v>176</v>
      </c>
      <c r="Q182" t="s">
        <v>858</v>
      </c>
      <c r="R182" s="2">
        <v>287.23</v>
      </c>
      <c r="S182">
        <v>7</v>
      </c>
      <c r="T182" s="3">
        <v>0.5</v>
      </c>
      <c r="U182" s="2">
        <v>-68.94</v>
      </c>
    </row>
    <row r="183" spans="1:21" x14ac:dyDescent="0.35">
      <c r="A183">
        <v>491</v>
      </c>
      <c r="B183" t="s">
        <v>859</v>
      </c>
      <c r="C183" s="1">
        <v>44906</v>
      </c>
      <c r="D183" s="1">
        <v>44908</v>
      </c>
      <c r="E183" t="s">
        <v>34</v>
      </c>
      <c r="F183" t="s">
        <v>860</v>
      </c>
      <c r="G183" t="s">
        <v>861</v>
      </c>
      <c r="H183" t="s">
        <v>37</v>
      </c>
      <c r="I183" t="s">
        <v>26</v>
      </c>
      <c r="J183" t="s">
        <v>162</v>
      </c>
      <c r="K183" t="s">
        <v>162</v>
      </c>
      <c r="L183">
        <v>37703</v>
      </c>
      <c r="M183" t="s">
        <v>28</v>
      </c>
      <c r="N183" t="s">
        <v>862</v>
      </c>
      <c r="O183" t="s">
        <v>41</v>
      </c>
      <c r="P183" t="s">
        <v>170</v>
      </c>
      <c r="Q183" t="s">
        <v>863</v>
      </c>
      <c r="R183" s="2">
        <v>26.47</v>
      </c>
      <c r="S183">
        <v>5</v>
      </c>
      <c r="T183" s="3">
        <v>0.3</v>
      </c>
      <c r="U183" s="2">
        <v>-0.69</v>
      </c>
    </row>
    <row r="184" spans="1:21" x14ac:dyDescent="0.35">
      <c r="A184">
        <v>376</v>
      </c>
      <c r="B184" t="s">
        <v>864</v>
      </c>
      <c r="C184" s="1">
        <v>44913</v>
      </c>
      <c r="D184" s="1">
        <v>44916</v>
      </c>
      <c r="E184" t="s">
        <v>45</v>
      </c>
      <c r="F184" t="s">
        <v>865</v>
      </c>
      <c r="G184" t="s">
        <v>866</v>
      </c>
      <c r="H184" t="s">
        <v>37</v>
      </c>
      <c r="I184" t="s">
        <v>26</v>
      </c>
      <c r="J184" t="s">
        <v>127</v>
      </c>
      <c r="K184" t="s">
        <v>127</v>
      </c>
      <c r="L184">
        <v>47260</v>
      </c>
      <c r="M184" t="s">
        <v>56</v>
      </c>
      <c r="N184" t="s">
        <v>867</v>
      </c>
      <c r="O184" t="s">
        <v>41</v>
      </c>
      <c r="P184" t="s">
        <v>106</v>
      </c>
      <c r="Q184" t="s">
        <v>654</v>
      </c>
      <c r="R184" s="2">
        <v>55.27</v>
      </c>
      <c r="S184">
        <v>2</v>
      </c>
      <c r="T184" s="3">
        <v>0.2</v>
      </c>
      <c r="U184" s="2">
        <v>4.21</v>
      </c>
    </row>
    <row r="185" spans="1:21" x14ac:dyDescent="0.35">
      <c r="A185">
        <v>448</v>
      </c>
      <c r="B185" t="s">
        <v>868</v>
      </c>
      <c r="C185" s="1">
        <v>44913</v>
      </c>
      <c r="D185" s="1">
        <v>44915</v>
      </c>
      <c r="E185" t="s">
        <v>290</v>
      </c>
      <c r="F185" t="s">
        <v>869</v>
      </c>
      <c r="G185" t="s">
        <v>613</v>
      </c>
      <c r="H185" t="s">
        <v>37</v>
      </c>
      <c r="I185" t="s">
        <v>26</v>
      </c>
      <c r="J185" t="s">
        <v>162</v>
      </c>
      <c r="K185" t="s">
        <v>162</v>
      </c>
      <c r="L185">
        <v>43725</v>
      </c>
      <c r="M185" t="s">
        <v>28</v>
      </c>
      <c r="N185" t="s">
        <v>870</v>
      </c>
      <c r="O185" t="s">
        <v>30</v>
      </c>
      <c r="P185" t="s">
        <v>31</v>
      </c>
      <c r="Q185" t="s">
        <v>871</v>
      </c>
      <c r="R185" s="2">
        <v>190.78</v>
      </c>
      <c r="S185">
        <v>5</v>
      </c>
      <c r="T185" s="3">
        <v>0.3</v>
      </c>
      <c r="U185" s="2">
        <v>-15.08</v>
      </c>
    </row>
    <row r="186" spans="1:21" x14ac:dyDescent="0.35">
      <c r="A186">
        <v>384</v>
      </c>
      <c r="B186" t="s">
        <v>872</v>
      </c>
      <c r="C186" s="1">
        <v>44917</v>
      </c>
      <c r="D186" s="1">
        <v>44923</v>
      </c>
      <c r="E186" t="s">
        <v>34</v>
      </c>
      <c r="F186" t="s">
        <v>873</v>
      </c>
      <c r="G186" t="s">
        <v>652</v>
      </c>
      <c r="H186" t="s">
        <v>37</v>
      </c>
      <c r="I186" t="s">
        <v>26</v>
      </c>
      <c r="J186" t="s">
        <v>71</v>
      </c>
      <c r="K186" t="s">
        <v>71</v>
      </c>
      <c r="L186">
        <v>69557</v>
      </c>
      <c r="M186" t="s">
        <v>56</v>
      </c>
      <c r="N186" t="s">
        <v>874</v>
      </c>
      <c r="O186" t="s">
        <v>30</v>
      </c>
      <c r="P186" t="s">
        <v>176</v>
      </c>
      <c r="Q186" t="s">
        <v>592</v>
      </c>
      <c r="R186" s="2">
        <v>130.65</v>
      </c>
      <c r="S186">
        <v>2</v>
      </c>
      <c r="T186" s="3">
        <v>0</v>
      </c>
      <c r="U186" s="2">
        <v>16.66</v>
      </c>
    </row>
    <row r="187" spans="1:21" x14ac:dyDescent="0.35">
      <c r="A187">
        <v>595</v>
      </c>
      <c r="B187" t="s">
        <v>875</v>
      </c>
      <c r="C187" s="1">
        <v>44921</v>
      </c>
      <c r="D187" s="1">
        <v>44923</v>
      </c>
      <c r="E187" t="s">
        <v>45</v>
      </c>
      <c r="F187" t="s">
        <v>876</v>
      </c>
      <c r="G187" t="s">
        <v>340</v>
      </c>
      <c r="H187" t="s">
        <v>37</v>
      </c>
      <c r="I187" t="s">
        <v>26</v>
      </c>
      <c r="J187" t="s">
        <v>48</v>
      </c>
      <c r="K187" t="s">
        <v>48</v>
      </c>
      <c r="L187">
        <v>24404</v>
      </c>
      <c r="M187" t="s">
        <v>39</v>
      </c>
      <c r="N187" t="s">
        <v>877</v>
      </c>
      <c r="O187" t="s">
        <v>58</v>
      </c>
      <c r="P187" t="s">
        <v>307</v>
      </c>
      <c r="Q187" t="s">
        <v>810</v>
      </c>
      <c r="R187" s="2">
        <v>288.70999999999998</v>
      </c>
      <c r="S187">
        <v>3</v>
      </c>
      <c r="T187" s="3">
        <v>0.15</v>
      </c>
      <c r="U187" s="2">
        <v>39.93</v>
      </c>
    </row>
    <row r="188" spans="1:21" x14ac:dyDescent="0.35">
      <c r="A188">
        <v>178</v>
      </c>
      <c r="B188" t="s">
        <v>878</v>
      </c>
      <c r="C188" s="1">
        <v>44922</v>
      </c>
      <c r="D188" s="1">
        <v>44925</v>
      </c>
      <c r="E188" t="s">
        <v>34</v>
      </c>
      <c r="F188" t="s">
        <v>879</v>
      </c>
      <c r="G188" t="s">
        <v>672</v>
      </c>
      <c r="H188" t="s">
        <v>37</v>
      </c>
      <c r="I188" t="s">
        <v>26</v>
      </c>
      <c r="J188" t="s">
        <v>277</v>
      </c>
      <c r="K188" t="s">
        <v>277</v>
      </c>
      <c r="L188">
        <v>41433</v>
      </c>
      <c r="M188" t="s">
        <v>56</v>
      </c>
      <c r="N188" t="s">
        <v>880</v>
      </c>
      <c r="O188" t="s">
        <v>41</v>
      </c>
      <c r="P188" t="s">
        <v>151</v>
      </c>
      <c r="Q188" t="s">
        <v>881</v>
      </c>
      <c r="R188" s="2">
        <v>87.92</v>
      </c>
      <c r="S188">
        <v>6</v>
      </c>
      <c r="T188" s="3">
        <v>0</v>
      </c>
      <c r="U188" s="2">
        <v>23.99</v>
      </c>
    </row>
    <row r="189" spans="1:21" x14ac:dyDescent="0.35">
      <c r="A189">
        <v>147</v>
      </c>
      <c r="B189" t="s">
        <v>882</v>
      </c>
      <c r="C189" s="1">
        <v>44923</v>
      </c>
      <c r="D189" s="1">
        <v>44929</v>
      </c>
      <c r="E189" t="s">
        <v>45</v>
      </c>
      <c r="F189" t="s">
        <v>883</v>
      </c>
      <c r="G189" t="s">
        <v>884</v>
      </c>
      <c r="H189" t="s">
        <v>25</v>
      </c>
      <c r="I189" t="s">
        <v>26</v>
      </c>
      <c r="J189" t="s">
        <v>122</v>
      </c>
      <c r="K189" t="s">
        <v>122</v>
      </c>
      <c r="L189">
        <v>41337</v>
      </c>
      <c r="M189" t="s">
        <v>65</v>
      </c>
      <c r="N189" t="s">
        <v>885</v>
      </c>
      <c r="O189" t="s">
        <v>41</v>
      </c>
      <c r="P189" t="s">
        <v>134</v>
      </c>
      <c r="Q189" t="s">
        <v>605</v>
      </c>
      <c r="R189" s="2">
        <v>53.41</v>
      </c>
      <c r="S189">
        <v>1</v>
      </c>
      <c r="T189" s="3">
        <v>0.15</v>
      </c>
      <c r="U189" s="2">
        <v>6.33</v>
      </c>
    </row>
    <row r="190" spans="1:21" x14ac:dyDescent="0.35">
      <c r="A190">
        <v>209</v>
      </c>
      <c r="B190" t="s">
        <v>886</v>
      </c>
      <c r="C190" s="1">
        <v>44924</v>
      </c>
      <c r="D190" s="1">
        <v>44927</v>
      </c>
      <c r="E190" t="s">
        <v>45</v>
      </c>
      <c r="F190" t="s">
        <v>887</v>
      </c>
      <c r="G190" t="s">
        <v>888</v>
      </c>
      <c r="H190" t="s">
        <v>37</v>
      </c>
      <c r="I190" t="s">
        <v>26</v>
      </c>
      <c r="J190" t="s">
        <v>193</v>
      </c>
      <c r="K190" t="s">
        <v>193</v>
      </c>
      <c r="L190">
        <v>81088</v>
      </c>
      <c r="M190" t="s">
        <v>39</v>
      </c>
      <c r="N190" t="s">
        <v>563</v>
      </c>
      <c r="O190" t="s">
        <v>58</v>
      </c>
      <c r="P190" t="s">
        <v>59</v>
      </c>
      <c r="Q190" t="s">
        <v>889</v>
      </c>
      <c r="R190" s="2">
        <v>127.02</v>
      </c>
      <c r="S190">
        <v>2</v>
      </c>
      <c r="T190" s="3">
        <v>0.1</v>
      </c>
      <c r="U190" s="2">
        <v>35.65</v>
      </c>
    </row>
    <row r="191" spans="1:21" x14ac:dyDescent="0.35">
      <c r="A191">
        <v>475</v>
      </c>
      <c r="B191" t="s">
        <v>890</v>
      </c>
      <c r="C191" s="1">
        <v>44925</v>
      </c>
      <c r="D191" s="1">
        <v>44927</v>
      </c>
      <c r="E191" t="s">
        <v>34</v>
      </c>
      <c r="F191" t="s">
        <v>891</v>
      </c>
      <c r="G191" t="s">
        <v>892</v>
      </c>
      <c r="H191" t="s">
        <v>25</v>
      </c>
      <c r="I191" t="s">
        <v>26</v>
      </c>
      <c r="J191" t="s">
        <v>472</v>
      </c>
      <c r="K191" t="s">
        <v>472</v>
      </c>
      <c r="L191">
        <v>45057</v>
      </c>
      <c r="M191" t="s">
        <v>56</v>
      </c>
      <c r="N191" t="s">
        <v>893</v>
      </c>
      <c r="O191" t="s">
        <v>41</v>
      </c>
      <c r="P191" t="s">
        <v>170</v>
      </c>
      <c r="Q191" t="s">
        <v>894</v>
      </c>
      <c r="R191" s="2">
        <v>110.72</v>
      </c>
      <c r="S191">
        <v>6</v>
      </c>
      <c r="T191" s="3">
        <v>0.05</v>
      </c>
      <c r="U191" s="2">
        <v>16.309999999999999</v>
      </c>
    </row>
    <row r="192" spans="1:21" x14ac:dyDescent="0.35">
      <c r="A192">
        <v>332</v>
      </c>
      <c r="B192" t="s">
        <v>895</v>
      </c>
      <c r="C192" s="1">
        <v>44927</v>
      </c>
      <c r="D192" s="1">
        <v>44930</v>
      </c>
      <c r="E192" t="s">
        <v>34</v>
      </c>
      <c r="F192" t="s">
        <v>896</v>
      </c>
      <c r="G192" t="s">
        <v>345</v>
      </c>
      <c r="H192" t="s">
        <v>37</v>
      </c>
      <c r="I192" t="s">
        <v>26</v>
      </c>
      <c r="J192" t="s">
        <v>472</v>
      </c>
      <c r="K192" t="s">
        <v>472</v>
      </c>
      <c r="L192">
        <v>98559</v>
      </c>
      <c r="M192" t="s">
        <v>56</v>
      </c>
      <c r="N192" t="s">
        <v>571</v>
      </c>
      <c r="O192" t="s">
        <v>41</v>
      </c>
      <c r="P192" t="s">
        <v>73</v>
      </c>
      <c r="Q192" t="s">
        <v>366</v>
      </c>
      <c r="R192" s="2">
        <v>52.5</v>
      </c>
      <c r="S192">
        <v>1</v>
      </c>
      <c r="T192" s="3">
        <v>0.05</v>
      </c>
      <c r="U192" s="2">
        <v>11.11</v>
      </c>
    </row>
    <row r="193" spans="1:21" x14ac:dyDescent="0.35">
      <c r="A193">
        <v>507</v>
      </c>
      <c r="B193" t="s">
        <v>897</v>
      </c>
      <c r="C193" s="1">
        <v>44929</v>
      </c>
      <c r="D193" s="1">
        <v>44932</v>
      </c>
      <c r="E193" t="s">
        <v>34</v>
      </c>
      <c r="F193" t="s">
        <v>898</v>
      </c>
      <c r="G193" t="s">
        <v>899</v>
      </c>
      <c r="H193" t="s">
        <v>25</v>
      </c>
      <c r="I193" t="s">
        <v>26</v>
      </c>
      <c r="J193" t="s">
        <v>331</v>
      </c>
      <c r="K193" t="s">
        <v>331</v>
      </c>
      <c r="L193">
        <v>47743</v>
      </c>
      <c r="M193" t="s">
        <v>28</v>
      </c>
      <c r="N193" t="s">
        <v>900</v>
      </c>
      <c r="O193" t="s">
        <v>41</v>
      </c>
      <c r="P193" t="s">
        <v>151</v>
      </c>
      <c r="Q193" t="s">
        <v>389</v>
      </c>
      <c r="R193" s="2">
        <v>311.05</v>
      </c>
      <c r="S193">
        <v>3</v>
      </c>
      <c r="T193" s="3">
        <v>0.05</v>
      </c>
      <c r="U193" s="2">
        <v>62.89</v>
      </c>
    </row>
    <row r="194" spans="1:21" x14ac:dyDescent="0.35">
      <c r="A194">
        <v>572</v>
      </c>
      <c r="B194" t="s">
        <v>901</v>
      </c>
      <c r="C194" s="1">
        <v>44932</v>
      </c>
      <c r="D194" s="1">
        <v>44935</v>
      </c>
      <c r="E194" t="s">
        <v>290</v>
      </c>
      <c r="F194" t="s">
        <v>902</v>
      </c>
      <c r="G194" t="s">
        <v>903</v>
      </c>
      <c r="H194" t="s">
        <v>37</v>
      </c>
      <c r="I194" t="s">
        <v>26</v>
      </c>
      <c r="J194" t="s">
        <v>71</v>
      </c>
      <c r="K194" t="s">
        <v>71</v>
      </c>
      <c r="L194">
        <v>95818</v>
      </c>
      <c r="M194" t="s">
        <v>56</v>
      </c>
      <c r="N194" t="s">
        <v>904</v>
      </c>
      <c r="O194" t="s">
        <v>41</v>
      </c>
      <c r="P194" t="s">
        <v>73</v>
      </c>
      <c r="Q194" t="s">
        <v>905</v>
      </c>
      <c r="R194" s="2">
        <v>79.17</v>
      </c>
      <c r="S194">
        <v>6</v>
      </c>
      <c r="T194" s="3">
        <v>0.3</v>
      </c>
      <c r="U194" s="2">
        <v>6.11</v>
      </c>
    </row>
    <row r="195" spans="1:21" x14ac:dyDescent="0.35">
      <c r="A195">
        <v>194</v>
      </c>
      <c r="B195" t="s">
        <v>906</v>
      </c>
      <c r="C195" s="1">
        <v>44936</v>
      </c>
      <c r="D195" s="1">
        <v>44939</v>
      </c>
      <c r="E195" t="s">
        <v>45</v>
      </c>
      <c r="F195" t="s">
        <v>907</v>
      </c>
      <c r="G195" t="s">
        <v>575</v>
      </c>
      <c r="H195" t="s">
        <v>25</v>
      </c>
      <c r="I195" t="s">
        <v>26</v>
      </c>
      <c r="J195" t="s">
        <v>27</v>
      </c>
      <c r="K195" t="s">
        <v>27</v>
      </c>
      <c r="L195">
        <v>29552</v>
      </c>
      <c r="M195" t="s">
        <v>28</v>
      </c>
      <c r="N195" t="s">
        <v>908</v>
      </c>
      <c r="O195" t="s">
        <v>58</v>
      </c>
      <c r="P195" t="s">
        <v>307</v>
      </c>
      <c r="Q195" t="s">
        <v>909</v>
      </c>
      <c r="R195" s="2">
        <v>430.87</v>
      </c>
      <c r="S195">
        <v>4</v>
      </c>
      <c r="T195" s="3">
        <v>0.1</v>
      </c>
      <c r="U195" s="2">
        <v>61.91</v>
      </c>
    </row>
    <row r="196" spans="1:21" x14ac:dyDescent="0.35">
      <c r="A196">
        <v>295</v>
      </c>
      <c r="B196" t="s">
        <v>910</v>
      </c>
      <c r="C196" s="1">
        <v>44937</v>
      </c>
      <c r="D196" s="1">
        <v>44940</v>
      </c>
      <c r="E196" t="s">
        <v>34</v>
      </c>
      <c r="F196" t="s">
        <v>911</v>
      </c>
      <c r="G196" t="s">
        <v>903</v>
      </c>
      <c r="H196" t="s">
        <v>25</v>
      </c>
      <c r="I196" t="s">
        <v>26</v>
      </c>
      <c r="J196" t="s">
        <v>233</v>
      </c>
      <c r="K196" t="s">
        <v>233</v>
      </c>
      <c r="L196">
        <v>10798</v>
      </c>
      <c r="M196" t="s">
        <v>65</v>
      </c>
      <c r="N196" t="s">
        <v>912</v>
      </c>
      <c r="O196" t="s">
        <v>30</v>
      </c>
      <c r="P196" t="s">
        <v>100</v>
      </c>
      <c r="Q196" t="s">
        <v>318</v>
      </c>
      <c r="R196" s="2">
        <v>224.56</v>
      </c>
      <c r="S196">
        <v>3</v>
      </c>
      <c r="T196" s="3">
        <v>0.4</v>
      </c>
      <c r="U196" s="2">
        <v>-23.93</v>
      </c>
    </row>
    <row r="197" spans="1:21" x14ac:dyDescent="0.35">
      <c r="A197">
        <v>452</v>
      </c>
      <c r="B197" t="s">
        <v>913</v>
      </c>
      <c r="C197" s="1">
        <v>44937</v>
      </c>
      <c r="D197" s="1">
        <v>44940</v>
      </c>
      <c r="E197" t="s">
        <v>34</v>
      </c>
      <c r="F197" t="s">
        <v>783</v>
      </c>
      <c r="G197" t="s">
        <v>63</v>
      </c>
      <c r="H197" t="s">
        <v>25</v>
      </c>
      <c r="I197" t="s">
        <v>26</v>
      </c>
      <c r="J197" t="s">
        <v>204</v>
      </c>
      <c r="K197" t="s">
        <v>204</v>
      </c>
      <c r="L197">
        <v>17219</v>
      </c>
      <c r="M197" t="s">
        <v>39</v>
      </c>
      <c r="N197" t="s">
        <v>914</v>
      </c>
      <c r="O197" t="s">
        <v>58</v>
      </c>
      <c r="P197" t="s">
        <v>307</v>
      </c>
      <c r="Q197" t="s">
        <v>915</v>
      </c>
      <c r="R197" s="2">
        <v>585.54</v>
      </c>
      <c r="S197">
        <v>1</v>
      </c>
      <c r="T197" s="3">
        <v>0.4</v>
      </c>
      <c r="U197" s="2">
        <v>-5.53</v>
      </c>
    </row>
    <row r="198" spans="1:21" x14ac:dyDescent="0.35">
      <c r="A198">
        <v>327</v>
      </c>
      <c r="B198" t="s">
        <v>916</v>
      </c>
      <c r="C198" s="1">
        <v>44939</v>
      </c>
      <c r="D198" s="1">
        <v>44940</v>
      </c>
      <c r="E198" t="s">
        <v>45</v>
      </c>
      <c r="F198" t="s">
        <v>917</v>
      </c>
      <c r="G198" t="s">
        <v>161</v>
      </c>
      <c r="H198" t="s">
        <v>25</v>
      </c>
      <c r="I198" t="s">
        <v>26</v>
      </c>
      <c r="J198" t="s">
        <v>187</v>
      </c>
      <c r="K198" t="s">
        <v>187</v>
      </c>
      <c r="L198">
        <v>10755</v>
      </c>
      <c r="M198" t="s">
        <v>39</v>
      </c>
      <c r="N198" t="s">
        <v>918</v>
      </c>
      <c r="O198" t="s">
        <v>58</v>
      </c>
      <c r="P198" t="s">
        <v>89</v>
      </c>
      <c r="Q198" t="s">
        <v>919</v>
      </c>
      <c r="R198" s="2">
        <v>111.61</v>
      </c>
      <c r="S198">
        <v>5</v>
      </c>
      <c r="T198" s="3">
        <v>0.1</v>
      </c>
      <c r="U198" s="2">
        <v>12.41</v>
      </c>
    </row>
    <row r="199" spans="1:21" x14ac:dyDescent="0.35">
      <c r="A199">
        <v>402</v>
      </c>
      <c r="B199" t="s">
        <v>920</v>
      </c>
      <c r="C199" s="1">
        <v>44940</v>
      </c>
      <c r="D199" s="1">
        <v>44943</v>
      </c>
      <c r="E199" t="s">
        <v>34</v>
      </c>
      <c r="F199" t="s">
        <v>921</v>
      </c>
      <c r="G199" t="s">
        <v>238</v>
      </c>
      <c r="H199" t="s">
        <v>25</v>
      </c>
      <c r="I199" t="s">
        <v>26</v>
      </c>
      <c r="J199" t="s">
        <v>472</v>
      </c>
      <c r="K199" t="s">
        <v>472</v>
      </c>
      <c r="L199">
        <v>64712</v>
      </c>
      <c r="M199" t="s">
        <v>56</v>
      </c>
      <c r="N199" t="s">
        <v>904</v>
      </c>
      <c r="O199" t="s">
        <v>58</v>
      </c>
      <c r="P199" t="s">
        <v>89</v>
      </c>
      <c r="Q199" t="s">
        <v>683</v>
      </c>
      <c r="R199" s="2">
        <v>420.74</v>
      </c>
      <c r="S199">
        <v>5</v>
      </c>
      <c r="T199" s="3">
        <v>0</v>
      </c>
      <c r="U199" s="2">
        <v>122.78</v>
      </c>
    </row>
    <row r="200" spans="1:21" x14ac:dyDescent="0.35">
      <c r="A200">
        <v>548</v>
      </c>
      <c r="B200" t="s">
        <v>922</v>
      </c>
      <c r="C200" s="1">
        <v>44942</v>
      </c>
      <c r="D200" s="1">
        <v>44948</v>
      </c>
      <c r="E200" t="s">
        <v>34</v>
      </c>
      <c r="F200" t="s">
        <v>923</v>
      </c>
      <c r="G200" t="s">
        <v>138</v>
      </c>
      <c r="H200" t="s">
        <v>54</v>
      </c>
      <c r="I200" t="s">
        <v>26</v>
      </c>
      <c r="J200" t="s">
        <v>277</v>
      </c>
      <c r="K200" t="s">
        <v>277</v>
      </c>
      <c r="L200">
        <v>56104</v>
      </c>
      <c r="M200" t="s">
        <v>56</v>
      </c>
      <c r="N200" t="s">
        <v>512</v>
      </c>
      <c r="O200" t="s">
        <v>30</v>
      </c>
      <c r="P200" t="s">
        <v>176</v>
      </c>
      <c r="Q200" t="s">
        <v>924</v>
      </c>
      <c r="R200" s="2">
        <v>81.010000000000005</v>
      </c>
      <c r="S200">
        <v>1</v>
      </c>
      <c r="T200" s="3">
        <v>0.15</v>
      </c>
      <c r="U200" s="2">
        <v>6.19</v>
      </c>
    </row>
    <row r="201" spans="1:21" x14ac:dyDescent="0.35">
      <c r="A201">
        <v>250</v>
      </c>
      <c r="B201" t="s">
        <v>925</v>
      </c>
      <c r="C201" s="1">
        <v>44942</v>
      </c>
      <c r="D201" s="1">
        <v>44945</v>
      </c>
      <c r="E201" t="s">
        <v>34</v>
      </c>
      <c r="F201" t="s">
        <v>926</v>
      </c>
      <c r="G201" t="s">
        <v>608</v>
      </c>
      <c r="H201" t="s">
        <v>25</v>
      </c>
      <c r="I201" t="s">
        <v>26</v>
      </c>
      <c r="J201" t="s">
        <v>193</v>
      </c>
      <c r="K201" t="s">
        <v>193</v>
      </c>
      <c r="L201">
        <v>72653</v>
      </c>
      <c r="M201" t="s">
        <v>39</v>
      </c>
      <c r="N201" t="s">
        <v>927</v>
      </c>
      <c r="O201" t="s">
        <v>58</v>
      </c>
      <c r="P201" t="s">
        <v>307</v>
      </c>
      <c r="Q201" t="s">
        <v>928</v>
      </c>
      <c r="R201" s="2">
        <v>25.09</v>
      </c>
      <c r="S201">
        <v>5</v>
      </c>
      <c r="T201" s="3">
        <v>0</v>
      </c>
      <c r="U201" s="2">
        <v>5.04</v>
      </c>
    </row>
    <row r="202" spans="1:21" x14ac:dyDescent="0.35">
      <c r="A202">
        <v>536</v>
      </c>
      <c r="B202" t="s">
        <v>929</v>
      </c>
      <c r="C202" s="1">
        <v>44943</v>
      </c>
      <c r="D202" s="1">
        <v>44946</v>
      </c>
      <c r="E202" t="s">
        <v>45</v>
      </c>
      <c r="F202" t="s">
        <v>930</v>
      </c>
      <c r="G202" t="s">
        <v>765</v>
      </c>
      <c r="H202" t="s">
        <v>25</v>
      </c>
      <c r="I202" t="s">
        <v>26</v>
      </c>
      <c r="J202" t="s">
        <v>233</v>
      </c>
      <c r="K202" t="s">
        <v>233</v>
      </c>
      <c r="L202">
        <v>61369</v>
      </c>
      <c r="M202" t="s">
        <v>65</v>
      </c>
      <c r="N202" t="s">
        <v>931</v>
      </c>
      <c r="O202" t="s">
        <v>41</v>
      </c>
      <c r="P202" t="s">
        <v>151</v>
      </c>
      <c r="Q202" t="s">
        <v>932</v>
      </c>
      <c r="R202" s="2">
        <v>115.71</v>
      </c>
      <c r="S202">
        <v>6</v>
      </c>
      <c r="T202" s="3">
        <v>0.2</v>
      </c>
      <c r="U202" s="2">
        <v>11.67</v>
      </c>
    </row>
    <row r="203" spans="1:21" x14ac:dyDescent="0.35">
      <c r="A203">
        <v>148</v>
      </c>
      <c r="B203" t="s">
        <v>933</v>
      </c>
      <c r="C203" s="1">
        <v>44943</v>
      </c>
      <c r="D203" s="1">
        <v>44945</v>
      </c>
      <c r="E203" t="s">
        <v>34</v>
      </c>
      <c r="F203" t="s">
        <v>934</v>
      </c>
      <c r="G203" t="s">
        <v>562</v>
      </c>
      <c r="H203" t="s">
        <v>37</v>
      </c>
      <c r="I203" t="s">
        <v>26</v>
      </c>
      <c r="J203" t="s">
        <v>82</v>
      </c>
      <c r="K203" t="s">
        <v>82</v>
      </c>
      <c r="L203">
        <v>69518</v>
      </c>
      <c r="M203" t="s">
        <v>28</v>
      </c>
      <c r="N203" t="s">
        <v>935</v>
      </c>
      <c r="O203" t="s">
        <v>30</v>
      </c>
      <c r="P203" t="s">
        <v>31</v>
      </c>
      <c r="Q203" t="s">
        <v>431</v>
      </c>
      <c r="R203" s="2">
        <v>80.88</v>
      </c>
      <c r="S203">
        <v>1</v>
      </c>
      <c r="T203" s="3">
        <v>0</v>
      </c>
      <c r="U203" s="2">
        <v>11.47</v>
      </c>
    </row>
    <row r="204" spans="1:21" x14ac:dyDescent="0.35">
      <c r="A204">
        <v>444</v>
      </c>
      <c r="B204" t="s">
        <v>936</v>
      </c>
      <c r="C204" s="1">
        <v>44943</v>
      </c>
      <c r="D204" s="1">
        <v>44949</v>
      </c>
      <c r="E204" t="s">
        <v>34</v>
      </c>
      <c r="F204" t="s">
        <v>937</v>
      </c>
      <c r="G204" t="s">
        <v>110</v>
      </c>
      <c r="H204" t="s">
        <v>25</v>
      </c>
      <c r="I204" t="s">
        <v>26</v>
      </c>
      <c r="J204" t="s">
        <v>193</v>
      </c>
      <c r="K204" t="s">
        <v>193</v>
      </c>
      <c r="L204">
        <v>21294</v>
      </c>
      <c r="M204" t="s">
        <v>39</v>
      </c>
      <c r="N204" t="s">
        <v>938</v>
      </c>
      <c r="O204" t="s">
        <v>58</v>
      </c>
      <c r="P204" t="s">
        <v>89</v>
      </c>
      <c r="Q204" t="s">
        <v>513</v>
      </c>
      <c r="R204" s="2">
        <v>243.1</v>
      </c>
      <c r="S204">
        <v>4</v>
      </c>
      <c r="T204" s="3">
        <v>0.1</v>
      </c>
      <c r="U204" s="2">
        <v>67.08</v>
      </c>
    </row>
    <row r="205" spans="1:21" x14ac:dyDescent="0.35">
      <c r="A205">
        <v>188</v>
      </c>
      <c r="B205" t="s">
        <v>939</v>
      </c>
      <c r="C205" s="1">
        <v>44945</v>
      </c>
      <c r="D205" s="1">
        <v>44946</v>
      </c>
      <c r="E205" t="s">
        <v>45</v>
      </c>
      <c r="F205" t="s">
        <v>940</v>
      </c>
      <c r="G205" t="s">
        <v>149</v>
      </c>
      <c r="H205" t="s">
        <v>25</v>
      </c>
      <c r="I205" t="s">
        <v>26</v>
      </c>
      <c r="J205" t="s">
        <v>48</v>
      </c>
      <c r="K205" t="s">
        <v>48</v>
      </c>
      <c r="L205">
        <v>96511</v>
      </c>
      <c r="M205" t="s">
        <v>39</v>
      </c>
      <c r="N205" t="s">
        <v>941</v>
      </c>
      <c r="O205" t="s">
        <v>30</v>
      </c>
      <c r="P205" t="s">
        <v>100</v>
      </c>
      <c r="Q205" t="s">
        <v>273</v>
      </c>
      <c r="R205" s="2">
        <v>96.82</v>
      </c>
      <c r="S205">
        <v>7</v>
      </c>
      <c r="T205" s="3">
        <v>0.2</v>
      </c>
      <c r="U205" s="2">
        <v>-4.2</v>
      </c>
    </row>
    <row r="206" spans="1:21" x14ac:dyDescent="0.35">
      <c r="A206">
        <v>389</v>
      </c>
      <c r="B206" t="s">
        <v>942</v>
      </c>
      <c r="C206" s="1">
        <v>44948</v>
      </c>
      <c r="D206" s="1">
        <v>44952</v>
      </c>
      <c r="E206" t="s">
        <v>34</v>
      </c>
      <c r="F206" t="s">
        <v>943</v>
      </c>
      <c r="G206" t="s">
        <v>104</v>
      </c>
      <c r="H206" t="s">
        <v>54</v>
      </c>
      <c r="I206" t="s">
        <v>26</v>
      </c>
      <c r="J206" t="s">
        <v>27</v>
      </c>
      <c r="K206" t="s">
        <v>27</v>
      </c>
      <c r="L206">
        <v>98534</v>
      </c>
      <c r="M206" t="s">
        <v>28</v>
      </c>
      <c r="N206" t="s">
        <v>944</v>
      </c>
      <c r="O206" t="s">
        <v>41</v>
      </c>
      <c r="P206" t="s">
        <v>151</v>
      </c>
      <c r="Q206" t="s">
        <v>945</v>
      </c>
      <c r="R206" s="2">
        <v>101.6</v>
      </c>
      <c r="S206">
        <v>2</v>
      </c>
      <c r="T206" s="3">
        <v>0.1</v>
      </c>
      <c r="U206" s="2">
        <v>13.64</v>
      </c>
    </row>
    <row r="207" spans="1:21" x14ac:dyDescent="0.35">
      <c r="A207">
        <v>302</v>
      </c>
      <c r="B207" t="s">
        <v>946</v>
      </c>
      <c r="C207" s="1">
        <v>44948</v>
      </c>
      <c r="D207" s="1">
        <v>44952</v>
      </c>
      <c r="E207" t="s">
        <v>45</v>
      </c>
      <c r="F207" t="s">
        <v>947</v>
      </c>
      <c r="G207" t="s">
        <v>292</v>
      </c>
      <c r="H207" t="s">
        <v>54</v>
      </c>
      <c r="I207" t="s">
        <v>26</v>
      </c>
      <c r="J207" t="s">
        <v>233</v>
      </c>
      <c r="K207" t="s">
        <v>233</v>
      </c>
      <c r="L207">
        <v>44758</v>
      </c>
      <c r="M207" t="s">
        <v>65</v>
      </c>
      <c r="N207" t="s">
        <v>948</v>
      </c>
      <c r="O207" t="s">
        <v>30</v>
      </c>
      <c r="P207" t="s">
        <v>100</v>
      </c>
      <c r="Q207" t="s">
        <v>790</v>
      </c>
      <c r="R207" s="2">
        <v>205.06</v>
      </c>
      <c r="S207">
        <v>4</v>
      </c>
      <c r="T207" s="3">
        <v>0.15</v>
      </c>
      <c r="U207" s="2">
        <v>15.23</v>
      </c>
    </row>
    <row r="208" spans="1:21" x14ac:dyDescent="0.35">
      <c r="A208">
        <v>136</v>
      </c>
      <c r="B208" t="s">
        <v>949</v>
      </c>
      <c r="C208" s="1">
        <v>44948</v>
      </c>
      <c r="D208" s="1">
        <v>44951</v>
      </c>
      <c r="E208" t="s">
        <v>45</v>
      </c>
      <c r="F208" t="s">
        <v>950</v>
      </c>
      <c r="G208" t="s">
        <v>951</v>
      </c>
      <c r="H208" t="s">
        <v>25</v>
      </c>
      <c r="I208" t="s">
        <v>26</v>
      </c>
      <c r="J208" t="s">
        <v>187</v>
      </c>
      <c r="K208" t="s">
        <v>187</v>
      </c>
      <c r="L208">
        <v>41852</v>
      </c>
      <c r="M208" t="s">
        <v>39</v>
      </c>
      <c r="N208" t="s">
        <v>952</v>
      </c>
      <c r="O208" t="s">
        <v>30</v>
      </c>
      <c r="P208" t="s">
        <v>100</v>
      </c>
      <c r="Q208" t="s">
        <v>781</v>
      </c>
      <c r="R208" s="2">
        <v>307.76</v>
      </c>
      <c r="S208">
        <v>3</v>
      </c>
      <c r="T208" s="3">
        <v>0.1</v>
      </c>
      <c r="U208" s="2">
        <v>9.64</v>
      </c>
    </row>
    <row r="209" spans="1:21" x14ac:dyDescent="0.35">
      <c r="A209">
        <v>218</v>
      </c>
      <c r="B209" t="s">
        <v>953</v>
      </c>
      <c r="C209" s="1">
        <v>44949</v>
      </c>
      <c r="D209" s="1">
        <v>44952</v>
      </c>
      <c r="E209" t="s">
        <v>45</v>
      </c>
      <c r="F209" t="s">
        <v>954</v>
      </c>
      <c r="G209" t="s">
        <v>590</v>
      </c>
      <c r="H209" t="s">
        <v>37</v>
      </c>
      <c r="I209" t="s">
        <v>26</v>
      </c>
      <c r="J209" t="s">
        <v>48</v>
      </c>
      <c r="K209" t="s">
        <v>48</v>
      </c>
      <c r="L209">
        <v>29259</v>
      </c>
      <c r="M209" t="s">
        <v>39</v>
      </c>
      <c r="N209" t="s">
        <v>955</v>
      </c>
      <c r="O209" t="s">
        <v>30</v>
      </c>
      <c r="P209" t="s">
        <v>100</v>
      </c>
      <c r="Q209" t="s">
        <v>956</v>
      </c>
      <c r="R209" s="2">
        <v>47.07</v>
      </c>
      <c r="S209">
        <v>1</v>
      </c>
      <c r="T209" s="3">
        <v>0.15</v>
      </c>
      <c r="U209" s="2">
        <v>0.34</v>
      </c>
    </row>
    <row r="210" spans="1:21" x14ac:dyDescent="0.35">
      <c r="A210">
        <v>571</v>
      </c>
      <c r="B210" t="s">
        <v>957</v>
      </c>
      <c r="C210" s="1">
        <v>44951</v>
      </c>
      <c r="D210" s="1">
        <v>44955</v>
      </c>
      <c r="E210" t="s">
        <v>34</v>
      </c>
      <c r="F210" t="s">
        <v>958</v>
      </c>
      <c r="G210" t="s">
        <v>149</v>
      </c>
      <c r="H210" t="s">
        <v>25</v>
      </c>
      <c r="I210" t="s">
        <v>26</v>
      </c>
      <c r="J210" t="s">
        <v>38</v>
      </c>
      <c r="K210" t="s">
        <v>38</v>
      </c>
      <c r="L210">
        <v>28170</v>
      </c>
      <c r="M210" t="s">
        <v>39</v>
      </c>
      <c r="N210" t="s">
        <v>163</v>
      </c>
      <c r="O210" t="s">
        <v>41</v>
      </c>
      <c r="P210" t="s">
        <v>73</v>
      </c>
      <c r="Q210" t="s">
        <v>959</v>
      </c>
      <c r="R210" s="2">
        <v>60.38</v>
      </c>
      <c r="S210">
        <v>1</v>
      </c>
      <c r="T210" s="3">
        <v>0.15</v>
      </c>
      <c r="U210" s="2">
        <v>0.11</v>
      </c>
    </row>
    <row r="211" spans="1:21" x14ac:dyDescent="0.35">
      <c r="A211">
        <v>547</v>
      </c>
      <c r="B211" t="s">
        <v>960</v>
      </c>
      <c r="C211" s="1">
        <v>44952</v>
      </c>
      <c r="D211" s="1">
        <v>44953</v>
      </c>
      <c r="E211" t="s">
        <v>45</v>
      </c>
      <c r="F211" t="s">
        <v>961</v>
      </c>
      <c r="G211" t="s">
        <v>36</v>
      </c>
      <c r="H211" t="s">
        <v>54</v>
      </c>
      <c r="I211" t="s">
        <v>26</v>
      </c>
      <c r="J211" t="s">
        <v>204</v>
      </c>
      <c r="K211" t="s">
        <v>204</v>
      </c>
      <c r="L211">
        <v>60345</v>
      </c>
      <c r="M211" t="s">
        <v>39</v>
      </c>
      <c r="N211" t="s">
        <v>962</v>
      </c>
      <c r="O211" t="s">
        <v>41</v>
      </c>
      <c r="P211" t="s">
        <v>151</v>
      </c>
      <c r="Q211" t="s">
        <v>963</v>
      </c>
      <c r="R211" s="2">
        <v>107.47</v>
      </c>
      <c r="S211">
        <v>5</v>
      </c>
      <c r="T211" s="3">
        <v>0.4</v>
      </c>
      <c r="U211" s="2">
        <v>-9.34</v>
      </c>
    </row>
    <row r="212" spans="1:21" x14ac:dyDescent="0.35">
      <c r="A212">
        <v>356</v>
      </c>
      <c r="B212" t="s">
        <v>964</v>
      </c>
      <c r="C212" s="1">
        <v>44957</v>
      </c>
      <c r="D212" s="1">
        <v>44959</v>
      </c>
      <c r="E212" t="s">
        <v>34</v>
      </c>
      <c r="F212" t="s">
        <v>965</v>
      </c>
      <c r="G212" t="s">
        <v>81</v>
      </c>
      <c r="H212" t="s">
        <v>37</v>
      </c>
      <c r="I212" t="s">
        <v>26</v>
      </c>
      <c r="J212" t="s">
        <v>181</v>
      </c>
      <c r="K212" t="s">
        <v>181</v>
      </c>
      <c r="L212">
        <v>95781</v>
      </c>
      <c r="M212" t="s">
        <v>65</v>
      </c>
      <c r="N212" t="s">
        <v>966</v>
      </c>
      <c r="O212" t="s">
        <v>41</v>
      </c>
      <c r="P212" t="s">
        <v>151</v>
      </c>
      <c r="Q212" t="s">
        <v>967</v>
      </c>
      <c r="R212" s="2">
        <v>59.24</v>
      </c>
      <c r="S212">
        <v>4</v>
      </c>
      <c r="T212" s="3">
        <v>0</v>
      </c>
      <c r="U212" s="2">
        <v>17.27</v>
      </c>
    </row>
    <row r="213" spans="1:21" x14ac:dyDescent="0.35">
      <c r="A213">
        <v>27</v>
      </c>
      <c r="B213" t="s">
        <v>968</v>
      </c>
      <c r="C213" s="1">
        <v>44957</v>
      </c>
      <c r="D213" s="1">
        <v>44963</v>
      </c>
      <c r="E213" t="s">
        <v>45</v>
      </c>
      <c r="F213" t="s">
        <v>969</v>
      </c>
      <c r="G213" t="s">
        <v>248</v>
      </c>
      <c r="H213" t="s">
        <v>54</v>
      </c>
      <c r="I213" t="s">
        <v>26</v>
      </c>
      <c r="J213" t="s">
        <v>38</v>
      </c>
      <c r="K213" t="s">
        <v>38</v>
      </c>
      <c r="L213">
        <v>70566</v>
      </c>
      <c r="M213" t="s">
        <v>39</v>
      </c>
      <c r="N213" t="s">
        <v>970</v>
      </c>
      <c r="O213" t="s">
        <v>30</v>
      </c>
      <c r="P213" t="s">
        <v>176</v>
      </c>
      <c r="Q213" t="s">
        <v>177</v>
      </c>
      <c r="R213" s="2">
        <v>284.18</v>
      </c>
      <c r="S213">
        <v>7</v>
      </c>
      <c r="T213" s="3">
        <v>0</v>
      </c>
      <c r="U213" s="2">
        <v>43.79</v>
      </c>
    </row>
    <row r="214" spans="1:21" x14ac:dyDescent="0.35">
      <c r="A214">
        <v>510</v>
      </c>
      <c r="B214" t="s">
        <v>971</v>
      </c>
      <c r="C214" s="1">
        <v>44957</v>
      </c>
      <c r="D214" s="1">
        <v>44963</v>
      </c>
      <c r="E214" t="s">
        <v>45</v>
      </c>
      <c r="F214" t="s">
        <v>972</v>
      </c>
      <c r="G214" t="s">
        <v>765</v>
      </c>
      <c r="H214" t="s">
        <v>25</v>
      </c>
      <c r="I214" t="s">
        <v>26</v>
      </c>
      <c r="J214" t="s">
        <v>71</v>
      </c>
      <c r="K214" t="s">
        <v>71</v>
      </c>
      <c r="L214">
        <v>35595</v>
      </c>
      <c r="M214" t="s">
        <v>56</v>
      </c>
      <c r="N214" t="s">
        <v>973</v>
      </c>
      <c r="O214" t="s">
        <v>30</v>
      </c>
      <c r="P214" t="s">
        <v>176</v>
      </c>
      <c r="Q214" t="s">
        <v>328</v>
      </c>
      <c r="R214" s="2">
        <v>197.81</v>
      </c>
      <c r="S214">
        <v>6</v>
      </c>
      <c r="T214" s="3">
        <v>0.2</v>
      </c>
      <c r="U214" s="2">
        <v>9.35</v>
      </c>
    </row>
    <row r="215" spans="1:21" x14ac:dyDescent="0.35">
      <c r="A215">
        <v>368</v>
      </c>
      <c r="B215" t="s">
        <v>974</v>
      </c>
      <c r="C215" s="1">
        <v>44958</v>
      </c>
      <c r="D215" s="1">
        <v>44964</v>
      </c>
      <c r="E215" t="s">
        <v>34</v>
      </c>
      <c r="F215" t="s">
        <v>975</v>
      </c>
      <c r="G215" t="s">
        <v>630</v>
      </c>
      <c r="H215" t="s">
        <v>25</v>
      </c>
      <c r="I215" t="s">
        <v>26</v>
      </c>
      <c r="J215" t="s">
        <v>127</v>
      </c>
      <c r="K215" t="s">
        <v>127</v>
      </c>
      <c r="L215">
        <v>20737</v>
      </c>
      <c r="M215" t="s">
        <v>56</v>
      </c>
      <c r="N215" t="s">
        <v>976</v>
      </c>
      <c r="O215" t="s">
        <v>58</v>
      </c>
      <c r="P215" t="s">
        <v>59</v>
      </c>
      <c r="Q215" t="s">
        <v>977</v>
      </c>
      <c r="R215" s="2">
        <v>410.48</v>
      </c>
      <c r="S215">
        <v>4</v>
      </c>
      <c r="T215" s="3">
        <v>0.1</v>
      </c>
      <c r="U215" s="2">
        <v>98.96</v>
      </c>
    </row>
    <row r="216" spans="1:21" x14ac:dyDescent="0.35">
      <c r="A216">
        <v>585</v>
      </c>
      <c r="B216" t="s">
        <v>978</v>
      </c>
      <c r="C216" s="1">
        <v>44962</v>
      </c>
      <c r="D216" s="1">
        <v>44966</v>
      </c>
      <c r="E216" t="s">
        <v>45</v>
      </c>
      <c r="F216" t="s">
        <v>979</v>
      </c>
      <c r="G216" t="s">
        <v>321</v>
      </c>
      <c r="H216" t="s">
        <v>25</v>
      </c>
      <c r="I216" t="s">
        <v>26</v>
      </c>
      <c r="J216" t="s">
        <v>472</v>
      </c>
      <c r="K216" t="s">
        <v>472</v>
      </c>
      <c r="L216">
        <v>25290</v>
      </c>
      <c r="M216" t="s">
        <v>56</v>
      </c>
      <c r="N216" t="s">
        <v>980</v>
      </c>
      <c r="O216" t="s">
        <v>30</v>
      </c>
      <c r="P216" t="s">
        <v>31</v>
      </c>
      <c r="Q216" t="s">
        <v>981</v>
      </c>
      <c r="R216" s="2">
        <v>196.21</v>
      </c>
      <c r="S216">
        <v>3</v>
      </c>
      <c r="T216" s="3">
        <v>0</v>
      </c>
      <c r="U216" s="2">
        <v>43.34</v>
      </c>
    </row>
    <row r="217" spans="1:21" x14ac:dyDescent="0.35">
      <c r="A217">
        <v>15</v>
      </c>
      <c r="B217" t="s">
        <v>982</v>
      </c>
      <c r="C217" s="1">
        <v>44962</v>
      </c>
      <c r="D217" s="1">
        <v>44965</v>
      </c>
      <c r="E217" t="s">
        <v>34</v>
      </c>
      <c r="F217" t="s">
        <v>983</v>
      </c>
      <c r="G217" t="s">
        <v>892</v>
      </c>
      <c r="H217" t="s">
        <v>37</v>
      </c>
      <c r="I217" t="s">
        <v>26</v>
      </c>
      <c r="J217" t="s">
        <v>168</v>
      </c>
      <c r="K217" t="s">
        <v>168</v>
      </c>
      <c r="L217">
        <v>84543</v>
      </c>
      <c r="M217" t="s">
        <v>28</v>
      </c>
      <c r="N217" t="s">
        <v>984</v>
      </c>
      <c r="O217" t="s">
        <v>30</v>
      </c>
      <c r="P217" t="s">
        <v>176</v>
      </c>
      <c r="Q217" t="s">
        <v>985</v>
      </c>
      <c r="R217" s="2">
        <v>111.82</v>
      </c>
      <c r="S217">
        <v>3</v>
      </c>
      <c r="T217" s="3">
        <v>0.15</v>
      </c>
      <c r="U217" s="2">
        <v>11.3</v>
      </c>
    </row>
    <row r="218" spans="1:21" x14ac:dyDescent="0.35">
      <c r="A218">
        <v>169</v>
      </c>
      <c r="B218" t="s">
        <v>986</v>
      </c>
      <c r="C218" s="1">
        <v>44962</v>
      </c>
      <c r="D218" s="1">
        <v>44966</v>
      </c>
      <c r="E218" t="s">
        <v>45</v>
      </c>
      <c r="F218" t="s">
        <v>987</v>
      </c>
      <c r="G218" t="s">
        <v>116</v>
      </c>
      <c r="H218" t="s">
        <v>37</v>
      </c>
      <c r="I218" t="s">
        <v>26</v>
      </c>
      <c r="J218" t="s">
        <v>71</v>
      </c>
      <c r="K218" t="s">
        <v>71</v>
      </c>
      <c r="L218">
        <v>64040</v>
      </c>
      <c r="M218" t="s">
        <v>56</v>
      </c>
      <c r="N218" t="s">
        <v>988</v>
      </c>
      <c r="O218" t="s">
        <v>41</v>
      </c>
      <c r="P218" t="s">
        <v>73</v>
      </c>
      <c r="Q218" t="s">
        <v>846</v>
      </c>
      <c r="R218" s="2">
        <v>127.97</v>
      </c>
      <c r="S218">
        <v>5</v>
      </c>
      <c r="T218" s="3">
        <v>0.2</v>
      </c>
      <c r="U218" s="2">
        <v>11.98</v>
      </c>
    </row>
    <row r="219" spans="1:21" x14ac:dyDescent="0.35">
      <c r="A219">
        <v>37</v>
      </c>
      <c r="B219" t="s">
        <v>989</v>
      </c>
      <c r="C219" s="1">
        <v>44962</v>
      </c>
      <c r="D219" s="1">
        <v>44964</v>
      </c>
      <c r="E219" t="s">
        <v>45</v>
      </c>
      <c r="F219" t="s">
        <v>990</v>
      </c>
      <c r="G219" t="s">
        <v>81</v>
      </c>
      <c r="H219" t="s">
        <v>37</v>
      </c>
      <c r="I219" t="s">
        <v>26</v>
      </c>
      <c r="J219" t="s">
        <v>204</v>
      </c>
      <c r="K219" t="s">
        <v>204</v>
      </c>
      <c r="L219">
        <v>63413</v>
      </c>
      <c r="M219" t="s">
        <v>39</v>
      </c>
      <c r="N219" t="s">
        <v>991</v>
      </c>
      <c r="O219" t="s">
        <v>41</v>
      </c>
      <c r="P219" t="s">
        <v>42</v>
      </c>
      <c r="Q219" t="s">
        <v>992</v>
      </c>
      <c r="R219" s="2">
        <v>66.349999999999994</v>
      </c>
      <c r="S219">
        <v>4</v>
      </c>
      <c r="T219" s="3">
        <v>0.5</v>
      </c>
      <c r="U219" s="2">
        <v>-6.47</v>
      </c>
    </row>
    <row r="220" spans="1:21" x14ac:dyDescent="0.35">
      <c r="A220">
        <v>415</v>
      </c>
      <c r="B220" t="s">
        <v>993</v>
      </c>
      <c r="C220" s="1">
        <v>44963</v>
      </c>
      <c r="D220" s="1">
        <v>44967</v>
      </c>
      <c r="E220" t="s">
        <v>34</v>
      </c>
      <c r="F220" t="s">
        <v>994</v>
      </c>
      <c r="G220" t="s">
        <v>439</v>
      </c>
      <c r="H220" t="s">
        <v>25</v>
      </c>
      <c r="I220" t="s">
        <v>26</v>
      </c>
      <c r="J220" t="s">
        <v>55</v>
      </c>
      <c r="K220" t="s">
        <v>55</v>
      </c>
      <c r="L220">
        <v>98478</v>
      </c>
      <c r="M220" t="s">
        <v>56</v>
      </c>
      <c r="N220" t="s">
        <v>995</v>
      </c>
      <c r="O220" t="s">
        <v>58</v>
      </c>
      <c r="P220" t="s">
        <v>307</v>
      </c>
      <c r="Q220" t="s">
        <v>361</v>
      </c>
      <c r="R220" s="2">
        <v>160.68</v>
      </c>
      <c r="S220">
        <v>2</v>
      </c>
      <c r="T220" s="3">
        <v>0.1</v>
      </c>
      <c r="U220" s="2">
        <v>33.47</v>
      </c>
    </row>
    <row r="221" spans="1:21" x14ac:dyDescent="0.35">
      <c r="A221">
        <v>340</v>
      </c>
      <c r="B221" t="s">
        <v>996</v>
      </c>
      <c r="C221" s="1">
        <v>44964</v>
      </c>
      <c r="D221" s="1">
        <v>44967</v>
      </c>
      <c r="E221" t="s">
        <v>45</v>
      </c>
      <c r="F221" t="s">
        <v>997</v>
      </c>
      <c r="G221" t="s">
        <v>998</v>
      </c>
      <c r="H221" t="s">
        <v>25</v>
      </c>
      <c r="I221" t="s">
        <v>26</v>
      </c>
      <c r="J221" t="s">
        <v>277</v>
      </c>
      <c r="K221" t="s">
        <v>277</v>
      </c>
      <c r="L221">
        <v>29423</v>
      </c>
      <c r="M221" t="s">
        <v>56</v>
      </c>
      <c r="N221" t="s">
        <v>677</v>
      </c>
      <c r="O221" t="s">
        <v>30</v>
      </c>
      <c r="P221" t="s">
        <v>100</v>
      </c>
      <c r="Q221" t="s">
        <v>999</v>
      </c>
      <c r="R221" s="2">
        <v>284.25</v>
      </c>
      <c r="S221">
        <v>1</v>
      </c>
      <c r="T221" s="3">
        <v>0.05</v>
      </c>
      <c r="U221" s="2">
        <v>44.97</v>
      </c>
    </row>
    <row r="222" spans="1:21" x14ac:dyDescent="0.35">
      <c r="A222">
        <v>35</v>
      </c>
      <c r="B222" t="s">
        <v>1000</v>
      </c>
      <c r="C222" s="1">
        <v>44966</v>
      </c>
      <c r="D222" s="1">
        <v>44967</v>
      </c>
      <c r="E222" t="s">
        <v>290</v>
      </c>
      <c r="F222" t="s">
        <v>1001</v>
      </c>
      <c r="G222" t="s">
        <v>826</v>
      </c>
      <c r="H222" t="s">
        <v>54</v>
      </c>
      <c r="I222" t="s">
        <v>26</v>
      </c>
      <c r="J222" t="s">
        <v>277</v>
      </c>
      <c r="K222" t="s">
        <v>277</v>
      </c>
      <c r="L222">
        <v>44816</v>
      </c>
      <c r="M222" t="s">
        <v>56</v>
      </c>
      <c r="N222" t="s">
        <v>1002</v>
      </c>
      <c r="O222" t="s">
        <v>41</v>
      </c>
      <c r="P222" t="s">
        <v>42</v>
      </c>
      <c r="Q222" t="s">
        <v>1003</v>
      </c>
      <c r="R222" s="2">
        <v>141.55000000000001</v>
      </c>
      <c r="S222">
        <v>5</v>
      </c>
      <c r="T222" s="3">
        <v>0.4</v>
      </c>
      <c r="U222" s="2">
        <v>-12.07</v>
      </c>
    </row>
    <row r="223" spans="1:21" x14ac:dyDescent="0.35">
      <c r="A223">
        <v>594</v>
      </c>
      <c r="B223" t="s">
        <v>1004</v>
      </c>
      <c r="C223" s="1">
        <v>44966</v>
      </c>
      <c r="D223" s="1">
        <v>44968</v>
      </c>
      <c r="E223" t="s">
        <v>34</v>
      </c>
      <c r="F223" t="s">
        <v>1005</v>
      </c>
      <c r="G223" t="s">
        <v>520</v>
      </c>
      <c r="H223" t="s">
        <v>25</v>
      </c>
      <c r="I223" t="s">
        <v>26</v>
      </c>
      <c r="J223" t="s">
        <v>204</v>
      </c>
      <c r="K223" t="s">
        <v>204</v>
      </c>
      <c r="L223">
        <v>82793</v>
      </c>
      <c r="M223" t="s">
        <v>39</v>
      </c>
      <c r="N223" t="s">
        <v>1006</v>
      </c>
      <c r="O223" t="s">
        <v>41</v>
      </c>
      <c r="P223" t="s">
        <v>151</v>
      </c>
      <c r="Q223" t="s">
        <v>219</v>
      </c>
      <c r="R223" s="2">
        <v>47.5</v>
      </c>
      <c r="S223">
        <v>4</v>
      </c>
      <c r="T223" s="3">
        <v>0.2</v>
      </c>
      <c r="U223" s="2">
        <v>1.99</v>
      </c>
    </row>
    <row r="224" spans="1:21" x14ac:dyDescent="0.35">
      <c r="A224">
        <v>224</v>
      </c>
      <c r="B224" t="s">
        <v>1007</v>
      </c>
      <c r="C224" s="1">
        <v>44967</v>
      </c>
      <c r="D224" s="1">
        <v>44970</v>
      </c>
      <c r="E224" t="s">
        <v>34</v>
      </c>
      <c r="F224" t="s">
        <v>1008</v>
      </c>
      <c r="G224" t="s">
        <v>1009</v>
      </c>
      <c r="H224" t="s">
        <v>25</v>
      </c>
      <c r="I224" t="s">
        <v>26</v>
      </c>
      <c r="J224" t="s">
        <v>48</v>
      </c>
      <c r="K224" t="s">
        <v>48</v>
      </c>
      <c r="L224">
        <v>15213</v>
      </c>
      <c r="M224" t="s">
        <v>39</v>
      </c>
      <c r="N224" t="s">
        <v>1010</v>
      </c>
      <c r="O224" t="s">
        <v>41</v>
      </c>
      <c r="P224" t="s">
        <v>151</v>
      </c>
      <c r="Q224" t="s">
        <v>881</v>
      </c>
      <c r="R224" s="2">
        <v>113.89</v>
      </c>
      <c r="S224">
        <v>3</v>
      </c>
      <c r="T224" s="3">
        <v>0.15</v>
      </c>
      <c r="U224" s="2">
        <v>20.3</v>
      </c>
    </row>
    <row r="225" spans="1:21" x14ac:dyDescent="0.35">
      <c r="A225">
        <v>116</v>
      </c>
      <c r="B225" t="s">
        <v>1011</v>
      </c>
      <c r="C225" s="1">
        <v>44969</v>
      </c>
      <c r="D225" s="1">
        <v>44971</v>
      </c>
      <c r="E225" t="s">
        <v>34</v>
      </c>
      <c r="F225" t="s">
        <v>1012</v>
      </c>
      <c r="G225" t="s">
        <v>1013</v>
      </c>
      <c r="H225" t="s">
        <v>25</v>
      </c>
      <c r="I225" t="s">
        <v>26</v>
      </c>
      <c r="J225" t="s">
        <v>233</v>
      </c>
      <c r="K225" t="s">
        <v>233</v>
      </c>
      <c r="L225">
        <v>86295</v>
      </c>
      <c r="M225" t="s">
        <v>65</v>
      </c>
      <c r="N225" t="s">
        <v>1014</v>
      </c>
      <c r="O225" t="s">
        <v>58</v>
      </c>
      <c r="P225" t="s">
        <v>59</v>
      </c>
      <c r="Q225" t="s">
        <v>1015</v>
      </c>
      <c r="R225" s="2">
        <v>481.71</v>
      </c>
      <c r="S225">
        <v>4</v>
      </c>
      <c r="T225" s="3">
        <v>0.1</v>
      </c>
      <c r="U225" s="2">
        <v>91.74</v>
      </c>
    </row>
    <row r="226" spans="1:21" x14ac:dyDescent="0.35">
      <c r="A226">
        <v>513</v>
      </c>
      <c r="B226" t="s">
        <v>1016</v>
      </c>
      <c r="C226" s="1">
        <v>44971</v>
      </c>
      <c r="D226" s="1">
        <v>44976</v>
      </c>
      <c r="E226" t="s">
        <v>34</v>
      </c>
      <c r="F226" t="s">
        <v>1017</v>
      </c>
      <c r="G226" t="s">
        <v>267</v>
      </c>
      <c r="H226" t="s">
        <v>25</v>
      </c>
      <c r="I226" t="s">
        <v>26</v>
      </c>
      <c r="J226" t="s">
        <v>181</v>
      </c>
      <c r="K226" t="s">
        <v>181</v>
      </c>
      <c r="L226">
        <v>63444</v>
      </c>
      <c r="M226" t="s">
        <v>65</v>
      </c>
      <c r="N226" t="s">
        <v>805</v>
      </c>
      <c r="O226" t="s">
        <v>58</v>
      </c>
      <c r="P226" t="s">
        <v>307</v>
      </c>
      <c r="Q226" t="s">
        <v>1018</v>
      </c>
      <c r="R226" s="2">
        <v>73.98</v>
      </c>
      <c r="S226">
        <v>5</v>
      </c>
      <c r="T226" s="3">
        <v>0</v>
      </c>
      <c r="U226" s="2">
        <v>22.01</v>
      </c>
    </row>
    <row r="227" spans="1:21" x14ac:dyDescent="0.35">
      <c r="A227">
        <v>263</v>
      </c>
      <c r="B227" t="s">
        <v>1019</v>
      </c>
      <c r="C227" s="1">
        <v>44971</v>
      </c>
      <c r="D227" s="1">
        <v>44973</v>
      </c>
      <c r="E227" t="s">
        <v>34</v>
      </c>
      <c r="F227" t="s">
        <v>1020</v>
      </c>
      <c r="G227" t="s">
        <v>797</v>
      </c>
      <c r="H227" t="s">
        <v>25</v>
      </c>
      <c r="I227" t="s">
        <v>26</v>
      </c>
      <c r="J227" t="s">
        <v>127</v>
      </c>
      <c r="K227" t="s">
        <v>127</v>
      </c>
      <c r="L227">
        <v>43783</v>
      </c>
      <c r="M227" t="s">
        <v>56</v>
      </c>
      <c r="N227" t="s">
        <v>1021</v>
      </c>
      <c r="O227" t="s">
        <v>41</v>
      </c>
      <c r="P227" t="s">
        <v>42</v>
      </c>
      <c r="Q227" t="s">
        <v>479</v>
      </c>
      <c r="R227" s="2">
        <v>34.58</v>
      </c>
      <c r="S227">
        <v>2</v>
      </c>
      <c r="T227" s="3">
        <v>0.3</v>
      </c>
      <c r="U227" s="2">
        <v>-1.22</v>
      </c>
    </row>
    <row r="228" spans="1:21" x14ac:dyDescent="0.35">
      <c r="A228">
        <v>176</v>
      </c>
      <c r="B228" t="s">
        <v>1022</v>
      </c>
      <c r="C228" s="1">
        <v>44973</v>
      </c>
      <c r="D228" s="1">
        <v>44976</v>
      </c>
      <c r="E228" t="s">
        <v>290</v>
      </c>
      <c r="F228" t="s">
        <v>1023</v>
      </c>
      <c r="G228" t="s">
        <v>349</v>
      </c>
      <c r="H228" t="s">
        <v>37</v>
      </c>
      <c r="I228" t="s">
        <v>26</v>
      </c>
      <c r="J228" t="s">
        <v>168</v>
      </c>
      <c r="K228" t="s">
        <v>168</v>
      </c>
      <c r="L228">
        <v>87240</v>
      </c>
      <c r="M228" t="s">
        <v>28</v>
      </c>
      <c r="N228" t="s">
        <v>1024</v>
      </c>
      <c r="O228" t="s">
        <v>41</v>
      </c>
      <c r="P228" t="s">
        <v>106</v>
      </c>
      <c r="Q228" t="s">
        <v>483</v>
      </c>
      <c r="R228" s="2">
        <v>36.46</v>
      </c>
      <c r="S228">
        <v>4</v>
      </c>
      <c r="T228" s="3">
        <v>0.15</v>
      </c>
      <c r="U228" s="2">
        <v>1.67</v>
      </c>
    </row>
    <row r="229" spans="1:21" x14ac:dyDescent="0.35">
      <c r="A229">
        <v>535</v>
      </c>
      <c r="B229" t="s">
        <v>1025</v>
      </c>
      <c r="C229" s="1">
        <v>44976</v>
      </c>
      <c r="D229" s="1">
        <v>44980</v>
      </c>
      <c r="E229" t="s">
        <v>22</v>
      </c>
      <c r="F229" t="s">
        <v>1026</v>
      </c>
      <c r="G229" t="s">
        <v>725</v>
      </c>
      <c r="H229" t="s">
        <v>37</v>
      </c>
      <c r="I229" t="s">
        <v>26</v>
      </c>
      <c r="J229" t="s">
        <v>204</v>
      </c>
      <c r="K229" t="s">
        <v>204</v>
      </c>
      <c r="L229">
        <v>94787</v>
      </c>
      <c r="M229" t="s">
        <v>39</v>
      </c>
      <c r="N229" t="s">
        <v>1027</v>
      </c>
      <c r="O229" t="s">
        <v>41</v>
      </c>
      <c r="P229" t="s">
        <v>106</v>
      </c>
      <c r="Q229" t="s">
        <v>483</v>
      </c>
      <c r="R229" s="2">
        <v>13.9</v>
      </c>
      <c r="S229">
        <v>3</v>
      </c>
      <c r="T229" s="3">
        <v>0.05</v>
      </c>
      <c r="U229" s="2">
        <v>1.82</v>
      </c>
    </row>
    <row r="230" spans="1:21" x14ac:dyDescent="0.35">
      <c r="A230">
        <v>211</v>
      </c>
      <c r="B230" t="s">
        <v>1028</v>
      </c>
      <c r="C230" s="1">
        <v>44977</v>
      </c>
      <c r="D230" s="1">
        <v>44981</v>
      </c>
      <c r="E230" t="s">
        <v>45</v>
      </c>
      <c r="F230" t="s">
        <v>1029</v>
      </c>
      <c r="G230" t="s">
        <v>1030</v>
      </c>
      <c r="H230" t="s">
        <v>37</v>
      </c>
      <c r="I230" t="s">
        <v>26</v>
      </c>
      <c r="J230" t="s">
        <v>168</v>
      </c>
      <c r="K230" t="s">
        <v>168</v>
      </c>
      <c r="L230">
        <v>59810</v>
      </c>
      <c r="M230" t="s">
        <v>28</v>
      </c>
      <c r="N230" t="s">
        <v>1031</v>
      </c>
      <c r="O230" t="s">
        <v>30</v>
      </c>
      <c r="P230" t="s">
        <v>100</v>
      </c>
      <c r="Q230" t="s">
        <v>273</v>
      </c>
      <c r="R230" s="2">
        <v>190.92</v>
      </c>
      <c r="S230">
        <v>1</v>
      </c>
      <c r="T230" s="3">
        <v>0.15</v>
      </c>
      <c r="U230" s="2">
        <v>17.53</v>
      </c>
    </row>
    <row r="231" spans="1:21" x14ac:dyDescent="0.35">
      <c r="A231">
        <v>25</v>
      </c>
      <c r="B231" t="s">
        <v>1032</v>
      </c>
      <c r="C231" s="1">
        <v>44979</v>
      </c>
      <c r="D231" s="1">
        <v>44981</v>
      </c>
      <c r="E231" t="s">
        <v>22</v>
      </c>
      <c r="F231" t="s">
        <v>1033</v>
      </c>
      <c r="G231" t="s">
        <v>813</v>
      </c>
      <c r="H231" t="s">
        <v>25</v>
      </c>
      <c r="I231" t="s">
        <v>26</v>
      </c>
      <c r="J231" t="s">
        <v>38</v>
      </c>
      <c r="K231" t="s">
        <v>38</v>
      </c>
      <c r="L231">
        <v>95999</v>
      </c>
      <c r="M231" t="s">
        <v>39</v>
      </c>
      <c r="N231" t="s">
        <v>1034</v>
      </c>
      <c r="O231" t="s">
        <v>30</v>
      </c>
      <c r="P231" t="s">
        <v>31</v>
      </c>
      <c r="Q231" t="s">
        <v>529</v>
      </c>
      <c r="R231" s="2">
        <v>176.33</v>
      </c>
      <c r="S231">
        <v>5</v>
      </c>
      <c r="T231" s="3">
        <v>0.1</v>
      </c>
      <c r="U231" s="2">
        <v>16.72</v>
      </c>
    </row>
    <row r="232" spans="1:21" x14ac:dyDescent="0.35">
      <c r="A232">
        <v>288</v>
      </c>
      <c r="B232" t="s">
        <v>1035</v>
      </c>
      <c r="C232" s="1">
        <v>44980</v>
      </c>
      <c r="D232" s="1">
        <v>44983</v>
      </c>
      <c r="E232" t="s">
        <v>22</v>
      </c>
      <c r="F232" t="s">
        <v>1036</v>
      </c>
      <c r="G232" t="s">
        <v>453</v>
      </c>
      <c r="H232" t="s">
        <v>54</v>
      </c>
      <c r="I232" t="s">
        <v>26</v>
      </c>
      <c r="J232" t="s">
        <v>277</v>
      </c>
      <c r="K232" t="s">
        <v>277</v>
      </c>
      <c r="L232">
        <v>15974</v>
      </c>
      <c r="M232" t="s">
        <v>56</v>
      </c>
      <c r="N232" t="s">
        <v>1037</v>
      </c>
      <c r="O232" t="s">
        <v>30</v>
      </c>
      <c r="P232" t="s">
        <v>176</v>
      </c>
      <c r="Q232" t="s">
        <v>1038</v>
      </c>
      <c r="R232" s="2">
        <v>366.89</v>
      </c>
      <c r="S232">
        <v>7</v>
      </c>
      <c r="T232" s="3">
        <v>0.15</v>
      </c>
      <c r="U232" s="2">
        <v>3.63</v>
      </c>
    </row>
    <row r="233" spans="1:21" x14ac:dyDescent="0.35">
      <c r="A233">
        <v>121</v>
      </c>
      <c r="B233" t="s">
        <v>1039</v>
      </c>
      <c r="C233" s="1">
        <v>44982</v>
      </c>
      <c r="D233" s="1">
        <v>44985</v>
      </c>
      <c r="E233" t="s">
        <v>45</v>
      </c>
      <c r="F233" t="s">
        <v>1040</v>
      </c>
      <c r="G233" t="s">
        <v>1041</v>
      </c>
      <c r="H233" t="s">
        <v>37</v>
      </c>
      <c r="I233" t="s">
        <v>26</v>
      </c>
      <c r="J233" t="s">
        <v>27</v>
      </c>
      <c r="K233" t="s">
        <v>27</v>
      </c>
      <c r="L233">
        <v>59666</v>
      </c>
      <c r="M233" t="s">
        <v>28</v>
      </c>
      <c r="N233" t="s">
        <v>1042</v>
      </c>
      <c r="O233" t="s">
        <v>41</v>
      </c>
      <c r="P233" t="s">
        <v>151</v>
      </c>
      <c r="Q233" t="s">
        <v>1043</v>
      </c>
      <c r="R233" s="2">
        <v>146.26</v>
      </c>
      <c r="S233">
        <v>2</v>
      </c>
      <c r="T233" s="3">
        <v>0.15</v>
      </c>
      <c r="U233" s="2">
        <v>19.420000000000002</v>
      </c>
    </row>
    <row r="234" spans="1:21" x14ac:dyDescent="0.35">
      <c r="A234">
        <v>346</v>
      </c>
      <c r="B234" t="s">
        <v>1044</v>
      </c>
      <c r="C234" s="1">
        <v>44985</v>
      </c>
      <c r="D234" s="1">
        <v>44987</v>
      </c>
      <c r="E234" t="s">
        <v>45</v>
      </c>
      <c r="F234" t="s">
        <v>1045</v>
      </c>
      <c r="G234" t="s">
        <v>1046</v>
      </c>
      <c r="H234" t="s">
        <v>25</v>
      </c>
      <c r="I234" t="s">
        <v>26</v>
      </c>
      <c r="J234" t="s">
        <v>55</v>
      </c>
      <c r="K234" t="s">
        <v>55</v>
      </c>
      <c r="L234">
        <v>97318</v>
      </c>
      <c r="M234" t="s">
        <v>56</v>
      </c>
      <c r="N234" t="s">
        <v>914</v>
      </c>
      <c r="O234" t="s">
        <v>30</v>
      </c>
      <c r="P234" t="s">
        <v>157</v>
      </c>
      <c r="Q234" t="s">
        <v>1047</v>
      </c>
      <c r="R234" s="2">
        <v>102.91</v>
      </c>
      <c r="S234">
        <v>6</v>
      </c>
      <c r="T234" s="3">
        <v>0.1</v>
      </c>
      <c r="U234" s="2">
        <v>11.52</v>
      </c>
    </row>
    <row r="235" spans="1:21" x14ac:dyDescent="0.35">
      <c r="A235">
        <v>488</v>
      </c>
      <c r="B235" t="s">
        <v>1048</v>
      </c>
      <c r="C235" s="1">
        <v>44988</v>
      </c>
      <c r="D235" s="1">
        <v>44993</v>
      </c>
      <c r="E235" t="s">
        <v>34</v>
      </c>
      <c r="F235" t="s">
        <v>1049</v>
      </c>
      <c r="G235" t="s">
        <v>243</v>
      </c>
      <c r="H235" t="s">
        <v>25</v>
      </c>
      <c r="I235" t="s">
        <v>26</v>
      </c>
      <c r="J235" t="s">
        <v>331</v>
      </c>
      <c r="K235" t="s">
        <v>331</v>
      </c>
      <c r="L235">
        <v>79835</v>
      </c>
      <c r="M235" t="s">
        <v>28</v>
      </c>
      <c r="N235" t="s">
        <v>1050</v>
      </c>
      <c r="O235" t="s">
        <v>58</v>
      </c>
      <c r="P235" t="s">
        <v>307</v>
      </c>
      <c r="Q235" t="s">
        <v>1051</v>
      </c>
      <c r="R235" s="2">
        <v>202.92</v>
      </c>
      <c r="S235">
        <v>2</v>
      </c>
      <c r="T235" s="3">
        <v>0.3</v>
      </c>
      <c r="U235" s="2">
        <v>25.29</v>
      </c>
    </row>
    <row r="236" spans="1:21" x14ac:dyDescent="0.35">
      <c r="A236">
        <v>470</v>
      </c>
      <c r="B236" t="s">
        <v>1052</v>
      </c>
      <c r="C236" s="1">
        <v>44994</v>
      </c>
      <c r="D236" s="1">
        <v>45000</v>
      </c>
      <c r="E236" t="s">
        <v>34</v>
      </c>
      <c r="F236" t="s">
        <v>1053</v>
      </c>
      <c r="G236" t="s">
        <v>892</v>
      </c>
      <c r="H236" t="s">
        <v>25</v>
      </c>
      <c r="I236" t="s">
        <v>26</v>
      </c>
      <c r="J236" t="s">
        <v>181</v>
      </c>
      <c r="K236" t="s">
        <v>181</v>
      </c>
      <c r="L236">
        <v>85312</v>
      </c>
      <c r="M236" t="s">
        <v>65</v>
      </c>
      <c r="N236" t="s">
        <v>1054</v>
      </c>
      <c r="O236" t="s">
        <v>41</v>
      </c>
      <c r="P236" t="s">
        <v>151</v>
      </c>
      <c r="Q236" t="s">
        <v>649</v>
      </c>
      <c r="R236" s="2">
        <v>8</v>
      </c>
      <c r="S236">
        <v>1</v>
      </c>
      <c r="T236" s="3">
        <v>0.15</v>
      </c>
      <c r="U236" s="2">
        <v>0.98</v>
      </c>
    </row>
    <row r="237" spans="1:21" x14ac:dyDescent="0.35">
      <c r="A237">
        <v>455</v>
      </c>
      <c r="B237" t="s">
        <v>1055</v>
      </c>
      <c r="C237" s="1">
        <v>44995</v>
      </c>
      <c r="D237" s="1">
        <v>45000</v>
      </c>
      <c r="E237" t="s">
        <v>34</v>
      </c>
      <c r="F237" t="s">
        <v>1056</v>
      </c>
      <c r="G237" t="s">
        <v>1057</v>
      </c>
      <c r="H237" t="s">
        <v>25</v>
      </c>
      <c r="I237" t="s">
        <v>26</v>
      </c>
      <c r="J237" t="s">
        <v>71</v>
      </c>
      <c r="K237" t="s">
        <v>71</v>
      </c>
      <c r="L237">
        <v>12402</v>
      </c>
      <c r="M237" t="s">
        <v>56</v>
      </c>
      <c r="N237" t="s">
        <v>1058</v>
      </c>
      <c r="O237" t="s">
        <v>30</v>
      </c>
      <c r="P237" t="s">
        <v>31</v>
      </c>
      <c r="Q237" t="s">
        <v>1059</v>
      </c>
      <c r="R237" s="2">
        <v>101.1</v>
      </c>
      <c r="S237">
        <v>7</v>
      </c>
      <c r="T237" s="3">
        <v>0.2</v>
      </c>
      <c r="U237" s="2">
        <v>-5.27</v>
      </c>
    </row>
    <row r="238" spans="1:21" x14ac:dyDescent="0.35">
      <c r="A238">
        <v>370</v>
      </c>
      <c r="B238" t="s">
        <v>1060</v>
      </c>
      <c r="C238" s="1">
        <v>44995</v>
      </c>
      <c r="D238" s="1">
        <v>44997</v>
      </c>
      <c r="E238" t="s">
        <v>34</v>
      </c>
      <c r="F238" t="s">
        <v>1061</v>
      </c>
      <c r="G238" t="s">
        <v>203</v>
      </c>
      <c r="H238" t="s">
        <v>25</v>
      </c>
      <c r="I238" t="s">
        <v>26</v>
      </c>
      <c r="J238" t="s">
        <v>277</v>
      </c>
      <c r="K238" t="s">
        <v>277</v>
      </c>
      <c r="L238">
        <v>59252</v>
      </c>
      <c r="M238" t="s">
        <v>56</v>
      </c>
      <c r="N238" t="s">
        <v>1062</v>
      </c>
      <c r="O238" t="s">
        <v>41</v>
      </c>
      <c r="P238" t="s">
        <v>42</v>
      </c>
      <c r="Q238" t="s">
        <v>1063</v>
      </c>
      <c r="R238" s="2">
        <v>92.46</v>
      </c>
      <c r="S238">
        <v>5</v>
      </c>
      <c r="T238" s="3">
        <v>0.15</v>
      </c>
      <c r="U238" s="2">
        <v>6.55</v>
      </c>
    </row>
    <row r="239" spans="1:21" x14ac:dyDescent="0.35">
      <c r="A239">
        <v>133</v>
      </c>
      <c r="B239" t="s">
        <v>1064</v>
      </c>
      <c r="C239" s="1">
        <v>44996</v>
      </c>
      <c r="D239" s="1">
        <v>45000</v>
      </c>
      <c r="E239" t="s">
        <v>45</v>
      </c>
      <c r="F239" t="s">
        <v>1065</v>
      </c>
      <c r="G239" t="s">
        <v>676</v>
      </c>
      <c r="H239" t="s">
        <v>25</v>
      </c>
      <c r="I239" t="s">
        <v>26</v>
      </c>
      <c r="J239" t="s">
        <v>71</v>
      </c>
      <c r="K239" t="s">
        <v>71</v>
      </c>
      <c r="L239">
        <v>24939</v>
      </c>
      <c r="M239" t="s">
        <v>56</v>
      </c>
      <c r="N239" t="s">
        <v>1066</v>
      </c>
      <c r="O239" t="s">
        <v>30</v>
      </c>
      <c r="P239" t="s">
        <v>176</v>
      </c>
      <c r="Q239" t="s">
        <v>1067</v>
      </c>
      <c r="R239" s="2">
        <v>147.30000000000001</v>
      </c>
      <c r="S239">
        <v>4</v>
      </c>
      <c r="T239" s="3">
        <v>0.3</v>
      </c>
      <c r="U239" s="2">
        <v>-16.95</v>
      </c>
    </row>
    <row r="240" spans="1:21" x14ac:dyDescent="0.35">
      <c r="A240">
        <v>190</v>
      </c>
      <c r="B240" t="s">
        <v>1068</v>
      </c>
      <c r="C240" s="1">
        <v>44997</v>
      </c>
      <c r="D240" s="1">
        <v>45001</v>
      </c>
      <c r="E240" t="s">
        <v>45</v>
      </c>
      <c r="F240" t="s">
        <v>1069</v>
      </c>
      <c r="G240" t="s">
        <v>243</v>
      </c>
      <c r="H240" t="s">
        <v>37</v>
      </c>
      <c r="I240" t="s">
        <v>26</v>
      </c>
      <c r="J240" t="s">
        <v>204</v>
      </c>
      <c r="K240" t="s">
        <v>204</v>
      </c>
      <c r="L240">
        <v>75942</v>
      </c>
      <c r="M240" t="s">
        <v>39</v>
      </c>
      <c r="N240" t="s">
        <v>1070</v>
      </c>
      <c r="O240" t="s">
        <v>58</v>
      </c>
      <c r="P240" t="s">
        <v>112</v>
      </c>
      <c r="Q240" t="s">
        <v>1071</v>
      </c>
      <c r="R240" s="2">
        <v>241.37</v>
      </c>
      <c r="S240">
        <v>1</v>
      </c>
      <c r="T240" s="3">
        <v>0.15</v>
      </c>
      <c r="U240" s="2">
        <v>30.54</v>
      </c>
    </row>
    <row r="241" spans="1:21" x14ac:dyDescent="0.35">
      <c r="A241">
        <v>61</v>
      </c>
      <c r="B241" t="s">
        <v>1072</v>
      </c>
      <c r="C241" s="1">
        <v>45003</v>
      </c>
      <c r="D241" s="1">
        <v>45008</v>
      </c>
      <c r="E241" t="s">
        <v>34</v>
      </c>
      <c r="F241" t="s">
        <v>1073</v>
      </c>
      <c r="G241" t="s">
        <v>667</v>
      </c>
      <c r="H241" t="s">
        <v>54</v>
      </c>
      <c r="I241" t="s">
        <v>26</v>
      </c>
      <c r="J241" t="s">
        <v>71</v>
      </c>
      <c r="K241" t="s">
        <v>71</v>
      </c>
      <c r="L241">
        <v>50809</v>
      </c>
      <c r="M241" t="s">
        <v>56</v>
      </c>
      <c r="N241" t="s">
        <v>1074</v>
      </c>
      <c r="O241" t="s">
        <v>30</v>
      </c>
      <c r="P241" t="s">
        <v>176</v>
      </c>
      <c r="Q241" t="s">
        <v>924</v>
      </c>
      <c r="R241" s="2">
        <v>31.31</v>
      </c>
      <c r="S241">
        <v>1</v>
      </c>
      <c r="T241" s="3">
        <v>0.15</v>
      </c>
      <c r="U241" s="2">
        <v>2.73</v>
      </c>
    </row>
    <row r="242" spans="1:21" x14ac:dyDescent="0.35">
      <c r="A242">
        <v>418</v>
      </c>
      <c r="B242" t="s">
        <v>1075</v>
      </c>
      <c r="C242" s="1">
        <v>45004</v>
      </c>
      <c r="D242" s="1">
        <v>45006</v>
      </c>
      <c r="E242" t="s">
        <v>34</v>
      </c>
      <c r="F242" t="s">
        <v>1076</v>
      </c>
      <c r="G242" t="s">
        <v>477</v>
      </c>
      <c r="H242" t="s">
        <v>25</v>
      </c>
      <c r="I242" t="s">
        <v>26</v>
      </c>
      <c r="J242" t="s">
        <v>64</v>
      </c>
      <c r="K242" t="s">
        <v>64</v>
      </c>
      <c r="L242">
        <v>96338</v>
      </c>
      <c r="M242" t="s">
        <v>65</v>
      </c>
      <c r="N242" t="s">
        <v>1077</v>
      </c>
      <c r="O242" t="s">
        <v>58</v>
      </c>
      <c r="P242" t="s">
        <v>307</v>
      </c>
      <c r="Q242" t="s">
        <v>1078</v>
      </c>
      <c r="R242" s="2">
        <v>108.58</v>
      </c>
      <c r="S242">
        <v>7</v>
      </c>
      <c r="T242" s="3">
        <v>0.4</v>
      </c>
      <c r="U242" s="2">
        <v>-5.58</v>
      </c>
    </row>
    <row r="243" spans="1:21" x14ac:dyDescent="0.35">
      <c r="A243">
        <v>301</v>
      </c>
      <c r="B243" t="s">
        <v>1079</v>
      </c>
      <c r="C243" s="1">
        <v>45008</v>
      </c>
      <c r="D243" s="1">
        <v>45012</v>
      </c>
      <c r="E243" t="s">
        <v>34</v>
      </c>
      <c r="F243" t="s">
        <v>1080</v>
      </c>
      <c r="G243" t="s">
        <v>1081</v>
      </c>
      <c r="H243" t="s">
        <v>25</v>
      </c>
      <c r="I243" t="s">
        <v>26</v>
      </c>
      <c r="J243" t="s">
        <v>181</v>
      </c>
      <c r="K243" t="s">
        <v>181</v>
      </c>
      <c r="L243">
        <v>53254</v>
      </c>
      <c r="M243" t="s">
        <v>65</v>
      </c>
      <c r="N243" t="s">
        <v>1082</v>
      </c>
      <c r="O243" t="s">
        <v>41</v>
      </c>
      <c r="P243" t="s">
        <v>170</v>
      </c>
      <c r="Q243" t="s">
        <v>1083</v>
      </c>
      <c r="R243" s="2">
        <v>118.57</v>
      </c>
      <c r="S243">
        <v>6</v>
      </c>
      <c r="T243" s="3">
        <v>0.1</v>
      </c>
      <c r="U243" s="2">
        <v>18.97</v>
      </c>
    </row>
    <row r="244" spans="1:21" x14ac:dyDescent="0.35">
      <c r="A244">
        <v>427</v>
      </c>
      <c r="B244" t="s">
        <v>1084</v>
      </c>
      <c r="C244" s="1">
        <v>45009</v>
      </c>
      <c r="D244" s="1">
        <v>45013</v>
      </c>
      <c r="E244" t="s">
        <v>34</v>
      </c>
      <c r="F244" t="s">
        <v>1085</v>
      </c>
      <c r="G244" t="s">
        <v>575</v>
      </c>
      <c r="H244" t="s">
        <v>25</v>
      </c>
      <c r="I244" t="s">
        <v>26</v>
      </c>
      <c r="J244" t="s">
        <v>233</v>
      </c>
      <c r="K244" t="s">
        <v>233</v>
      </c>
      <c r="L244">
        <v>47909</v>
      </c>
      <c r="M244" t="s">
        <v>65</v>
      </c>
      <c r="N244" t="s">
        <v>1086</v>
      </c>
      <c r="O244" t="s">
        <v>41</v>
      </c>
      <c r="P244" t="s">
        <v>106</v>
      </c>
      <c r="Q244" t="s">
        <v>1087</v>
      </c>
      <c r="R244" s="2">
        <v>73.209999999999994</v>
      </c>
      <c r="S244">
        <v>7</v>
      </c>
      <c r="T244" s="3">
        <v>0</v>
      </c>
      <c r="U244" s="2">
        <v>15.98</v>
      </c>
    </row>
    <row r="245" spans="1:21" x14ac:dyDescent="0.35">
      <c r="A245">
        <v>181</v>
      </c>
      <c r="B245" t="s">
        <v>1088</v>
      </c>
      <c r="C245" s="1">
        <v>45011</v>
      </c>
      <c r="D245" s="1">
        <v>45017</v>
      </c>
      <c r="E245" t="s">
        <v>34</v>
      </c>
      <c r="F245" t="s">
        <v>1089</v>
      </c>
      <c r="G245" t="s">
        <v>550</v>
      </c>
      <c r="H245" t="s">
        <v>37</v>
      </c>
      <c r="I245" t="s">
        <v>26</v>
      </c>
      <c r="J245" t="s">
        <v>331</v>
      </c>
      <c r="K245" t="s">
        <v>331</v>
      </c>
      <c r="L245">
        <v>87960</v>
      </c>
      <c r="M245" t="s">
        <v>28</v>
      </c>
      <c r="N245" t="s">
        <v>525</v>
      </c>
      <c r="O245" t="s">
        <v>30</v>
      </c>
      <c r="P245" t="s">
        <v>100</v>
      </c>
      <c r="Q245" t="s">
        <v>552</v>
      </c>
      <c r="R245" s="2">
        <v>356.48</v>
      </c>
      <c r="S245">
        <v>1</v>
      </c>
      <c r="T245" s="3">
        <v>0.05</v>
      </c>
      <c r="U245" s="2">
        <v>65.69</v>
      </c>
    </row>
    <row r="246" spans="1:21" x14ac:dyDescent="0.35">
      <c r="A246">
        <v>382</v>
      </c>
      <c r="B246" t="s">
        <v>1090</v>
      </c>
      <c r="C246" s="1">
        <v>45016</v>
      </c>
      <c r="D246" s="1">
        <v>45018</v>
      </c>
      <c r="E246" t="s">
        <v>34</v>
      </c>
      <c r="F246" t="s">
        <v>1091</v>
      </c>
      <c r="G246" t="s">
        <v>1092</v>
      </c>
      <c r="H246" t="s">
        <v>25</v>
      </c>
      <c r="I246" t="s">
        <v>26</v>
      </c>
      <c r="J246" t="s">
        <v>139</v>
      </c>
      <c r="K246" t="s">
        <v>139</v>
      </c>
      <c r="L246">
        <v>25791</v>
      </c>
      <c r="M246" t="s">
        <v>65</v>
      </c>
      <c r="N246" t="s">
        <v>440</v>
      </c>
      <c r="O246" t="s">
        <v>41</v>
      </c>
      <c r="P246" t="s">
        <v>170</v>
      </c>
      <c r="Q246" t="s">
        <v>1093</v>
      </c>
      <c r="R246" s="2">
        <v>97.56</v>
      </c>
      <c r="S246">
        <v>2</v>
      </c>
      <c r="T246" s="3">
        <v>0.3</v>
      </c>
      <c r="U246" s="2">
        <v>0.66</v>
      </c>
    </row>
    <row r="247" spans="1:21" x14ac:dyDescent="0.35">
      <c r="A247">
        <v>483</v>
      </c>
      <c r="B247" t="s">
        <v>1094</v>
      </c>
      <c r="C247" s="1">
        <v>45017</v>
      </c>
      <c r="D247" s="1">
        <v>45020</v>
      </c>
      <c r="E247" t="s">
        <v>45</v>
      </c>
      <c r="F247" t="s">
        <v>1095</v>
      </c>
      <c r="G247" t="s">
        <v>630</v>
      </c>
      <c r="H247" t="s">
        <v>25</v>
      </c>
      <c r="I247" t="s">
        <v>26</v>
      </c>
      <c r="J247" t="s">
        <v>162</v>
      </c>
      <c r="K247" t="s">
        <v>162</v>
      </c>
      <c r="L247">
        <v>26911</v>
      </c>
      <c r="M247" t="s">
        <v>28</v>
      </c>
      <c r="N247" t="s">
        <v>1096</v>
      </c>
      <c r="O247" t="s">
        <v>58</v>
      </c>
      <c r="P247" t="s">
        <v>59</v>
      </c>
      <c r="Q247" t="s">
        <v>404</v>
      </c>
      <c r="R247" s="2">
        <v>200.24</v>
      </c>
      <c r="S247">
        <v>2</v>
      </c>
      <c r="T247" s="3">
        <v>0.15</v>
      </c>
      <c r="U247" s="2">
        <v>36.01</v>
      </c>
    </row>
    <row r="248" spans="1:21" x14ac:dyDescent="0.35">
      <c r="A248">
        <v>500</v>
      </c>
      <c r="B248" t="s">
        <v>1097</v>
      </c>
      <c r="C248" s="1">
        <v>45017</v>
      </c>
      <c r="D248" s="1">
        <v>45020</v>
      </c>
      <c r="E248" t="s">
        <v>34</v>
      </c>
      <c r="F248" t="s">
        <v>1098</v>
      </c>
      <c r="G248" t="s">
        <v>888</v>
      </c>
      <c r="H248" t="s">
        <v>54</v>
      </c>
      <c r="I248" t="s">
        <v>26</v>
      </c>
      <c r="J248" t="s">
        <v>204</v>
      </c>
      <c r="K248" t="s">
        <v>204</v>
      </c>
      <c r="L248">
        <v>38164</v>
      </c>
      <c r="M248" t="s">
        <v>39</v>
      </c>
      <c r="N248" t="s">
        <v>1099</v>
      </c>
      <c r="O248" t="s">
        <v>41</v>
      </c>
      <c r="P248" t="s">
        <v>170</v>
      </c>
      <c r="Q248" t="s">
        <v>1100</v>
      </c>
      <c r="R248" s="2">
        <v>78.540000000000006</v>
      </c>
      <c r="S248">
        <v>5</v>
      </c>
      <c r="T248" s="3">
        <v>0.3</v>
      </c>
      <c r="U248" s="2">
        <v>-3.51</v>
      </c>
    </row>
    <row r="249" spans="1:21" x14ac:dyDescent="0.35">
      <c r="A249">
        <v>363</v>
      </c>
      <c r="B249" t="s">
        <v>1101</v>
      </c>
      <c r="C249" s="1">
        <v>45017</v>
      </c>
      <c r="D249" s="1">
        <v>45019</v>
      </c>
      <c r="E249" t="s">
        <v>22</v>
      </c>
      <c r="F249" t="s">
        <v>1102</v>
      </c>
      <c r="G249" t="s">
        <v>788</v>
      </c>
      <c r="H249" t="s">
        <v>25</v>
      </c>
      <c r="I249" t="s">
        <v>26</v>
      </c>
      <c r="J249" t="s">
        <v>122</v>
      </c>
      <c r="K249" t="s">
        <v>122</v>
      </c>
      <c r="L249">
        <v>70686</v>
      </c>
      <c r="M249" t="s">
        <v>65</v>
      </c>
      <c r="N249" t="s">
        <v>988</v>
      </c>
      <c r="O249" t="s">
        <v>41</v>
      </c>
      <c r="P249" t="s">
        <v>151</v>
      </c>
      <c r="Q249" t="s">
        <v>1103</v>
      </c>
      <c r="R249" s="2">
        <v>96.62</v>
      </c>
      <c r="S249">
        <v>4</v>
      </c>
      <c r="T249" s="3">
        <v>0.15</v>
      </c>
      <c r="U249" s="2">
        <v>19.87</v>
      </c>
    </row>
    <row r="250" spans="1:21" x14ac:dyDescent="0.35">
      <c r="A250">
        <v>277</v>
      </c>
      <c r="B250" t="s">
        <v>1104</v>
      </c>
      <c r="C250" s="1">
        <v>45018</v>
      </c>
      <c r="D250" s="1">
        <v>45020</v>
      </c>
      <c r="E250" t="s">
        <v>34</v>
      </c>
      <c r="F250" t="s">
        <v>1105</v>
      </c>
      <c r="G250" t="s">
        <v>861</v>
      </c>
      <c r="H250" t="s">
        <v>25</v>
      </c>
      <c r="I250" t="s">
        <v>26</v>
      </c>
      <c r="J250" t="s">
        <v>82</v>
      </c>
      <c r="K250" t="s">
        <v>82</v>
      </c>
      <c r="L250">
        <v>62774</v>
      </c>
      <c r="M250" t="s">
        <v>28</v>
      </c>
      <c r="N250" t="s">
        <v>735</v>
      </c>
      <c r="O250" t="s">
        <v>41</v>
      </c>
      <c r="P250" t="s">
        <v>134</v>
      </c>
      <c r="Q250" t="s">
        <v>1106</v>
      </c>
      <c r="R250" s="2">
        <v>34.450000000000003</v>
      </c>
      <c r="S250">
        <v>6</v>
      </c>
      <c r="T250" s="3">
        <v>0</v>
      </c>
      <c r="U250" s="2">
        <v>9.0500000000000007</v>
      </c>
    </row>
    <row r="251" spans="1:21" x14ac:dyDescent="0.35">
      <c r="A251">
        <v>578</v>
      </c>
      <c r="B251" t="s">
        <v>1107</v>
      </c>
      <c r="C251" s="1">
        <v>45021</v>
      </c>
      <c r="D251" s="1">
        <v>45025</v>
      </c>
      <c r="E251" t="s">
        <v>34</v>
      </c>
      <c r="F251" t="s">
        <v>1108</v>
      </c>
      <c r="G251" t="s">
        <v>1030</v>
      </c>
      <c r="H251" t="s">
        <v>25</v>
      </c>
      <c r="I251" t="s">
        <v>26</v>
      </c>
      <c r="J251" t="s">
        <v>233</v>
      </c>
      <c r="K251" t="s">
        <v>233</v>
      </c>
      <c r="L251">
        <v>47132</v>
      </c>
      <c r="M251" t="s">
        <v>65</v>
      </c>
      <c r="N251" t="s">
        <v>850</v>
      </c>
      <c r="O251" t="s">
        <v>58</v>
      </c>
      <c r="P251" t="s">
        <v>112</v>
      </c>
      <c r="Q251" t="s">
        <v>745</v>
      </c>
      <c r="R251" s="2">
        <v>261.23</v>
      </c>
      <c r="S251">
        <v>5</v>
      </c>
      <c r="T251" s="3">
        <v>0.15</v>
      </c>
      <c r="U251" s="2">
        <v>37.36</v>
      </c>
    </row>
    <row r="252" spans="1:21" x14ac:dyDescent="0.35">
      <c r="A252">
        <v>2</v>
      </c>
      <c r="B252" t="s">
        <v>1109</v>
      </c>
      <c r="C252" s="1">
        <v>45021</v>
      </c>
      <c r="D252" s="1">
        <v>45024</v>
      </c>
      <c r="E252" t="s">
        <v>34</v>
      </c>
      <c r="F252" t="s">
        <v>1110</v>
      </c>
      <c r="G252" t="s">
        <v>198</v>
      </c>
      <c r="H252" t="s">
        <v>37</v>
      </c>
      <c r="I252" t="s">
        <v>26</v>
      </c>
      <c r="J252" t="s">
        <v>233</v>
      </c>
      <c r="K252" t="s">
        <v>233</v>
      </c>
      <c r="L252">
        <v>51606</v>
      </c>
      <c r="M252" t="s">
        <v>65</v>
      </c>
      <c r="N252" t="s">
        <v>1111</v>
      </c>
      <c r="O252" t="s">
        <v>41</v>
      </c>
      <c r="P252" t="s">
        <v>170</v>
      </c>
      <c r="Q252" t="s">
        <v>1112</v>
      </c>
      <c r="R252" s="2">
        <v>74.239999999999995</v>
      </c>
      <c r="S252">
        <v>4</v>
      </c>
      <c r="T252" s="3">
        <v>0.2</v>
      </c>
      <c r="U252" s="2">
        <v>4.49</v>
      </c>
    </row>
    <row r="253" spans="1:21" x14ac:dyDescent="0.35">
      <c r="A253">
        <v>562</v>
      </c>
      <c r="B253" t="s">
        <v>1113</v>
      </c>
      <c r="C253" s="1">
        <v>45021</v>
      </c>
      <c r="D253" s="1">
        <v>45024</v>
      </c>
      <c r="E253" t="s">
        <v>34</v>
      </c>
      <c r="F253" t="s">
        <v>1114</v>
      </c>
      <c r="G253" t="s">
        <v>888</v>
      </c>
      <c r="H253" t="s">
        <v>25</v>
      </c>
      <c r="I253" t="s">
        <v>26</v>
      </c>
      <c r="J253" t="s">
        <v>162</v>
      </c>
      <c r="K253" t="s">
        <v>162</v>
      </c>
      <c r="L253">
        <v>89782</v>
      </c>
      <c r="M253" t="s">
        <v>28</v>
      </c>
      <c r="N253" t="s">
        <v>1115</v>
      </c>
      <c r="O253" t="s">
        <v>58</v>
      </c>
      <c r="P253" t="s">
        <v>59</v>
      </c>
      <c r="Q253" t="s">
        <v>1116</v>
      </c>
      <c r="R253" s="2">
        <v>115.4</v>
      </c>
      <c r="S253">
        <v>4</v>
      </c>
      <c r="T253" s="3">
        <v>0.4</v>
      </c>
      <c r="U253" s="2">
        <v>-0.79</v>
      </c>
    </row>
    <row r="254" spans="1:21" x14ac:dyDescent="0.35">
      <c r="A254">
        <v>412</v>
      </c>
      <c r="B254" t="s">
        <v>1117</v>
      </c>
      <c r="C254" s="1">
        <v>45024</v>
      </c>
      <c r="D254" s="1">
        <v>45025</v>
      </c>
      <c r="E254" t="s">
        <v>45</v>
      </c>
      <c r="F254" t="s">
        <v>1118</v>
      </c>
      <c r="G254" t="s">
        <v>532</v>
      </c>
      <c r="H254" t="s">
        <v>25</v>
      </c>
      <c r="I254" t="s">
        <v>26</v>
      </c>
      <c r="J254" t="s">
        <v>127</v>
      </c>
      <c r="K254" t="s">
        <v>127</v>
      </c>
      <c r="L254">
        <v>48744</v>
      </c>
      <c r="M254" t="s">
        <v>56</v>
      </c>
      <c r="N254" t="s">
        <v>1119</v>
      </c>
      <c r="O254" t="s">
        <v>41</v>
      </c>
      <c r="P254" t="s">
        <v>170</v>
      </c>
      <c r="Q254" t="s">
        <v>1100</v>
      </c>
      <c r="R254" s="2">
        <v>115.93</v>
      </c>
      <c r="S254">
        <v>7</v>
      </c>
      <c r="T254" s="3">
        <v>0.2</v>
      </c>
      <c r="U254" s="2">
        <v>11.07</v>
      </c>
    </row>
    <row r="255" spans="1:21" x14ac:dyDescent="0.35">
      <c r="A255">
        <v>482</v>
      </c>
      <c r="B255" t="s">
        <v>1120</v>
      </c>
      <c r="C255" s="1">
        <v>45028</v>
      </c>
      <c r="D255" s="1">
        <v>45031</v>
      </c>
      <c r="E255" t="s">
        <v>290</v>
      </c>
      <c r="F255" t="s">
        <v>1121</v>
      </c>
      <c r="G255" t="s">
        <v>524</v>
      </c>
      <c r="H255" t="s">
        <v>25</v>
      </c>
      <c r="I255" t="s">
        <v>26</v>
      </c>
      <c r="J255" t="s">
        <v>82</v>
      </c>
      <c r="K255" t="s">
        <v>82</v>
      </c>
      <c r="L255">
        <v>90992</v>
      </c>
      <c r="M255" t="s">
        <v>28</v>
      </c>
      <c r="N255" t="s">
        <v>1122</v>
      </c>
      <c r="O255" t="s">
        <v>30</v>
      </c>
      <c r="P255" t="s">
        <v>157</v>
      </c>
      <c r="Q255" t="s">
        <v>602</v>
      </c>
      <c r="R255" s="2">
        <v>205.77</v>
      </c>
      <c r="S255">
        <v>4</v>
      </c>
      <c r="T255" s="3">
        <v>0.3</v>
      </c>
      <c r="U255" s="2">
        <v>-7.03</v>
      </c>
    </row>
    <row r="256" spans="1:21" x14ac:dyDescent="0.35">
      <c r="A256">
        <v>501</v>
      </c>
      <c r="B256" t="s">
        <v>1123</v>
      </c>
      <c r="C256" s="1">
        <v>45028</v>
      </c>
      <c r="D256" s="1">
        <v>45032</v>
      </c>
      <c r="E256" t="s">
        <v>45</v>
      </c>
      <c r="F256" t="s">
        <v>1124</v>
      </c>
      <c r="G256" t="s">
        <v>1125</v>
      </c>
      <c r="H256" t="s">
        <v>54</v>
      </c>
      <c r="I256" t="s">
        <v>26</v>
      </c>
      <c r="J256" t="s">
        <v>472</v>
      </c>
      <c r="K256" t="s">
        <v>472</v>
      </c>
      <c r="L256">
        <v>65186</v>
      </c>
      <c r="M256" t="s">
        <v>56</v>
      </c>
      <c r="N256" t="s">
        <v>497</v>
      </c>
      <c r="O256" t="s">
        <v>58</v>
      </c>
      <c r="P256" t="s">
        <v>59</v>
      </c>
      <c r="Q256" t="s">
        <v>215</v>
      </c>
      <c r="R256" s="2">
        <v>216.01</v>
      </c>
      <c r="S256">
        <v>6</v>
      </c>
      <c r="T256" s="3">
        <v>0.15</v>
      </c>
      <c r="U256" s="2">
        <v>43.9</v>
      </c>
    </row>
    <row r="257" spans="1:21" x14ac:dyDescent="0.35">
      <c r="A257">
        <v>207</v>
      </c>
      <c r="B257" t="s">
        <v>1126</v>
      </c>
      <c r="C257" s="1">
        <v>45032</v>
      </c>
      <c r="D257" s="1">
        <v>45035</v>
      </c>
      <c r="E257" t="s">
        <v>34</v>
      </c>
      <c r="F257" t="s">
        <v>1127</v>
      </c>
      <c r="G257" t="s">
        <v>316</v>
      </c>
      <c r="H257" t="s">
        <v>25</v>
      </c>
      <c r="I257" t="s">
        <v>26</v>
      </c>
      <c r="J257" t="s">
        <v>277</v>
      </c>
      <c r="K257" t="s">
        <v>277</v>
      </c>
      <c r="L257">
        <v>74925</v>
      </c>
      <c r="M257" t="s">
        <v>56</v>
      </c>
      <c r="N257" t="s">
        <v>1128</v>
      </c>
      <c r="O257" t="s">
        <v>41</v>
      </c>
      <c r="P257" t="s">
        <v>151</v>
      </c>
      <c r="Q257" t="s">
        <v>1129</v>
      </c>
      <c r="R257" s="2">
        <v>125.94</v>
      </c>
      <c r="S257">
        <v>4</v>
      </c>
      <c r="T257" s="3">
        <v>0.05</v>
      </c>
      <c r="U257" s="2">
        <v>25.51</v>
      </c>
    </row>
    <row r="258" spans="1:21" x14ac:dyDescent="0.35">
      <c r="A258">
        <v>324</v>
      </c>
      <c r="B258" t="s">
        <v>1130</v>
      </c>
      <c r="C258" s="1">
        <v>45033</v>
      </c>
      <c r="D258" s="1">
        <v>45037</v>
      </c>
      <c r="E258" t="s">
        <v>34</v>
      </c>
      <c r="F258" t="s">
        <v>1131</v>
      </c>
      <c r="G258" t="s">
        <v>369</v>
      </c>
      <c r="H258" t="s">
        <v>37</v>
      </c>
      <c r="I258" t="s">
        <v>26</v>
      </c>
      <c r="J258" t="s">
        <v>193</v>
      </c>
      <c r="K258" t="s">
        <v>193</v>
      </c>
      <c r="L258">
        <v>40825</v>
      </c>
      <c r="M258" t="s">
        <v>39</v>
      </c>
      <c r="N258" t="s">
        <v>1132</v>
      </c>
      <c r="O258" t="s">
        <v>58</v>
      </c>
      <c r="P258" t="s">
        <v>112</v>
      </c>
      <c r="Q258" t="s">
        <v>1133</v>
      </c>
      <c r="R258" s="2">
        <v>34.43</v>
      </c>
      <c r="S258">
        <v>2</v>
      </c>
      <c r="T258" s="3">
        <v>0</v>
      </c>
      <c r="U258" s="2">
        <v>9.68</v>
      </c>
    </row>
    <row r="259" spans="1:21" x14ac:dyDescent="0.35">
      <c r="A259">
        <v>568</v>
      </c>
      <c r="B259" t="s">
        <v>1134</v>
      </c>
      <c r="C259" s="1">
        <v>45039</v>
      </c>
      <c r="D259" s="1">
        <v>45040</v>
      </c>
      <c r="E259" t="s">
        <v>34</v>
      </c>
      <c r="F259" t="s">
        <v>481</v>
      </c>
      <c r="G259" t="s">
        <v>359</v>
      </c>
      <c r="H259" t="s">
        <v>25</v>
      </c>
      <c r="I259" t="s">
        <v>26</v>
      </c>
      <c r="J259" t="s">
        <v>55</v>
      </c>
      <c r="K259" t="s">
        <v>55</v>
      </c>
      <c r="L259">
        <v>81725</v>
      </c>
      <c r="M259" t="s">
        <v>56</v>
      </c>
      <c r="N259" t="s">
        <v>1135</v>
      </c>
      <c r="O259" t="s">
        <v>30</v>
      </c>
      <c r="P259" t="s">
        <v>157</v>
      </c>
      <c r="Q259" t="s">
        <v>610</v>
      </c>
      <c r="R259" s="2">
        <v>464.46</v>
      </c>
      <c r="S259">
        <v>2</v>
      </c>
      <c r="T259" s="3">
        <v>0.4</v>
      </c>
      <c r="U259" s="2">
        <v>-68.08</v>
      </c>
    </row>
    <row r="260" spans="1:21" x14ac:dyDescent="0.35">
      <c r="A260">
        <v>342</v>
      </c>
      <c r="B260" t="s">
        <v>1136</v>
      </c>
      <c r="C260" s="1">
        <v>45040</v>
      </c>
      <c r="D260" s="1">
        <v>45043</v>
      </c>
      <c r="E260" t="s">
        <v>34</v>
      </c>
      <c r="F260" t="s">
        <v>1137</v>
      </c>
      <c r="G260" t="s">
        <v>161</v>
      </c>
      <c r="H260" t="s">
        <v>37</v>
      </c>
      <c r="I260" t="s">
        <v>26</v>
      </c>
      <c r="J260" t="s">
        <v>331</v>
      </c>
      <c r="K260" t="s">
        <v>331</v>
      </c>
      <c r="L260">
        <v>64144</v>
      </c>
      <c r="M260" t="s">
        <v>28</v>
      </c>
      <c r="N260" t="s">
        <v>1138</v>
      </c>
      <c r="O260" t="s">
        <v>41</v>
      </c>
      <c r="P260" t="s">
        <v>134</v>
      </c>
      <c r="Q260" t="s">
        <v>1139</v>
      </c>
      <c r="R260" s="2">
        <v>66.569999999999993</v>
      </c>
      <c r="S260">
        <v>3</v>
      </c>
      <c r="T260" s="3">
        <v>0.15</v>
      </c>
      <c r="U260" s="2">
        <v>-0.33</v>
      </c>
    </row>
    <row r="261" spans="1:21" x14ac:dyDescent="0.35">
      <c r="A261">
        <v>145</v>
      </c>
      <c r="B261" t="s">
        <v>1140</v>
      </c>
      <c r="C261" s="1">
        <v>45043</v>
      </c>
      <c r="D261" s="1">
        <v>45048</v>
      </c>
      <c r="E261" t="s">
        <v>34</v>
      </c>
      <c r="F261" t="s">
        <v>1141</v>
      </c>
      <c r="G261" t="s">
        <v>730</v>
      </c>
      <c r="H261" t="s">
        <v>25</v>
      </c>
      <c r="I261" t="s">
        <v>26</v>
      </c>
      <c r="J261" t="s">
        <v>233</v>
      </c>
      <c r="K261" t="s">
        <v>233</v>
      </c>
      <c r="L261">
        <v>71944</v>
      </c>
      <c r="M261" t="s">
        <v>65</v>
      </c>
      <c r="N261" t="s">
        <v>1142</v>
      </c>
      <c r="O261" t="s">
        <v>30</v>
      </c>
      <c r="P261" t="s">
        <v>176</v>
      </c>
      <c r="Q261" t="s">
        <v>592</v>
      </c>
      <c r="R261" s="2">
        <v>326.43</v>
      </c>
      <c r="S261">
        <v>7</v>
      </c>
      <c r="T261" s="3">
        <v>0.2</v>
      </c>
      <c r="U261" s="2">
        <v>9.41</v>
      </c>
    </row>
    <row r="262" spans="1:21" x14ac:dyDescent="0.35">
      <c r="A262">
        <v>109</v>
      </c>
      <c r="B262" t="s">
        <v>1143</v>
      </c>
      <c r="C262" s="1">
        <v>45043</v>
      </c>
      <c r="D262" s="1">
        <v>45044</v>
      </c>
      <c r="E262" t="s">
        <v>45</v>
      </c>
      <c r="F262" t="s">
        <v>1144</v>
      </c>
      <c r="G262" t="s">
        <v>1145</v>
      </c>
      <c r="H262" t="s">
        <v>25</v>
      </c>
      <c r="I262" t="s">
        <v>26</v>
      </c>
      <c r="J262" t="s">
        <v>472</v>
      </c>
      <c r="K262" t="s">
        <v>472</v>
      </c>
      <c r="L262">
        <v>87866</v>
      </c>
      <c r="M262" t="s">
        <v>56</v>
      </c>
      <c r="N262" t="s">
        <v>57</v>
      </c>
      <c r="O262" t="s">
        <v>41</v>
      </c>
      <c r="P262" t="s">
        <v>73</v>
      </c>
      <c r="Q262" t="s">
        <v>1146</v>
      </c>
      <c r="R262" s="2">
        <v>66.209999999999994</v>
      </c>
      <c r="S262">
        <v>4</v>
      </c>
      <c r="T262" s="3">
        <v>0.3</v>
      </c>
      <c r="U262" s="2">
        <v>-5.22</v>
      </c>
    </row>
    <row r="263" spans="1:21" x14ac:dyDescent="0.35">
      <c r="A263">
        <v>158</v>
      </c>
      <c r="B263" t="s">
        <v>1147</v>
      </c>
      <c r="C263" s="1">
        <v>45044</v>
      </c>
      <c r="D263" s="1">
        <v>45046</v>
      </c>
      <c r="E263" t="s">
        <v>45</v>
      </c>
      <c r="F263" t="s">
        <v>1148</v>
      </c>
      <c r="G263" t="s">
        <v>516</v>
      </c>
      <c r="H263" t="s">
        <v>37</v>
      </c>
      <c r="I263" t="s">
        <v>26</v>
      </c>
      <c r="J263" t="s">
        <v>71</v>
      </c>
      <c r="K263" t="s">
        <v>71</v>
      </c>
      <c r="L263">
        <v>90388</v>
      </c>
      <c r="M263" t="s">
        <v>56</v>
      </c>
      <c r="N263" t="s">
        <v>1149</v>
      </c>
      <c r="O263" t="s">
        <v>41</v>
      </c>
      <c r="P263" t="s">
        <v>134</v>
      </c>
      <c r="Q263" t="s">
        <v>298</v>
      </c>
      <c r="R263" s="2">
        <v>67.23</v>
      </c>
      <c r="S263">
        <v>1</v>
      </c>
      <c r="T263" s="3">
        <v>0.3</v>
      </c>
      <c r="U263" s="2">
        <v>5.87</v>
      </c>
    </row>
    <row r="264" spans="1:21" x14ac:dyDescent="0.35">
      <c r="A264">
        <v>215</v>
      </c>
      <c r="B264" t="s">
        <v>1150</v>
      </c>
      <c r="C264" s="1">
        <v>45046</v>
      </c>
      <c r="D264" s="1">
        <v>45048</v>
      </c>
      <c r="E264" t="s">
        <v>34</v>
      </c>
      <c r="F264" t="s">
        <v>1151</v>
      </c>
      <c r="G264" t="s">
        <v>884</v>
      </c>
      <c r="H264" t="s">
        <v>37</v>
      </c>
      <c r="I264" t="s">
        <v>26</v>
      </c>
      <c r="J264" t="s">
        <v>168</v>
      </c>
      <c r="K264" t="s">
        <v>168</v>
      </c>
      <c r="L264">
        <v>66233</v>
      </c>
      <c r="M264" t="s">
        <v>28</v>
      </c>
      <c r="N264" t="s">
        <v>1054</v>
      </c>
      <c r="O264" t="s">
        <v>58</v>
      </c>
      <c r="P264" t="s">
        <v>307</v>
      </c>
      <c r="Q264" t="s">
        <v>1152</v>
      </c>
      <c r="R264" s="2">
        <v>375.97</v>
      </c>
      <c r="S264">
        <v>7</v>
      </c>
      <c r="T264" s="3">
        <v>0.2</v>
      </c>
      <c r="U264" s="2">
        <v>68.09</v>
      </c>
    </row>
    <row r="265" spans="1:21" x14ac:dyDescent="0.35">
      <c r="A265">
        <v>233</v>
      </c>
      <c r="B265" t="s">
        <v>1153</v>
      </c>
      <c r="C265" s="1">
        <v>45047</v>
      </c>
      <c r="D265" s="1">
        <v>45049</v>
      </c>
      <c r="E265" t="s">
        <v>34</v>
      </c>
      <c r="F265" t="s">
        <v>344</v>
      </c>
      <c r="G265" t="s">
        <v>634</v>
      </c>
      <c r="H265" t="s">
        <v>54</v>
      </c>
      <c r="I265" t="s">
        <v>26</v>
      </c>
      <c r="J265" t="s">
        <v>162</v>
      </c>
      <c r="K265" t="s">
        <v>162</v>
      </c>
      <c r="L265">
        <v>19018</v>
      </c>
      <c r="M265" t="s">
        <v>28</v>
      </c>
      <c r="N265" t="s">
        <v>766</v>
      </c>
      <c r="O265" t="s">
        <v>30</v>
      </c>
      <c r="P265" t="s">
        <v>157</v>
      </c>
      <c r="Q265" t="s">
        <v>583</v>
      </c>
      <c r="R265" s="2">
        <v>239.87</v>
      </c>
      <c r="S265">
        <v>5</v>
      </c>
      <c r="T265" s="3">
        <v>0.15</v>
      </c>
      <c r="U265" s="2">
        <v>-11.87</v>
      </c>
    </row>
    <row r="266" spans="1:21" x14ac:dyDescent="0.35">
      <c r="A266">
        <v>320</v>
      </c>
      <c r="B266" t="s">
        <v>1154</v>
      </c>
      <c r="C266" s="1">
        <v>45048</v>
      </c>
      <c r="D266" s="1">
        <v>45051</v>
      </c>
      <c r="E266" t="s">
        <v>34</v>
      </c>
      <c r="F266" t="s">
        <v>1155</v>
      </c>
      <c r="G266" t="s">
        <v>258</v>
      </c>
      <c r="H266" t="s">
        <v>25</v>
      </c>
      <c r="I266" t="s">
        <v>26</v>
      </c>
      <c r="J266" t="s">
        <v>331</v>
      </c>
      <c r="K266" t="s">
        <v>331</v>
      </c>
      <c r="L266">
        <v>59549</v>
      </c>
      <c r="M266" t="s">
        <v>28</v>
      </c>
      <c r="N266" t="s">
        <v>1156</v>
      </c>
      <c r="O266" t="s">
        <v>41</v>
      </c>
      <c r="P266" t="s">
        <v>170</v>
      </c>
      <c r="Q266" t="s">
        <v>641</v>
      </c>
      <c r="R266" s="2">
        <v>61.14</v>
      </c>
      <c r="S266">
        <v>5</v>
      </c>
      <c r="T266" s="3">
        <v>0.1</v>
      </c>
      <c r="U266" s="2">
        <v>8.77</v>
      </c>
    </row>
    <row r="267" spans="1:21" x14ac:dyDescent="0.35">
      <c r="A267">
        <v>486</v>
      </c>
      <c r="B267" t="s">
        <v>1157</v>
      </c>
      <c r="C267" s="1">
        <v>45051</v>
      </c>
      <c r="D267" s="1">
        <v>45057</v>
      </c>
      <c r="E267" t="s">
        <v>45</v>
      </c>
      <c r="F267" t="s">
        <v>1158</v>
      </c>
      <c r="G267" t="s">
        <v>511</v>
      </c>
      <c r="H267" t="s">
        <v>54</v>
      </c>
      <c r="I267" t="s">
        <v>26</v>
      </c>
      <c r="J267" t="s">
        <v>64</v>
      </c>
      <c r="K267" t="s">
        <v>64</v>
      </c>
      <c r="L267">
        <v>94821</v>
      </c>
      <c r="M267" t="s">
        <v>65</v>
      </c>
      <c r="N267" t="s">
        <v>501</v>
      </c>
      <c r="O267" t="s">
        <v>58</v>
      </c>
      <c r="P267" t="s">
        <v>112</v>
      </c>
      <c r="Q267" t="s">
        <v>1159</v>
      </c>
      <c r="R267" s="2">
        <v>222.4</v>
      </c>
      <c r="S267">
        <v>1</v>
      </c>
      <c r="T267" s="3">
        <v>0.2</v>
      </c>
      <c r="U267" s="2">
        <v>60.04</v>
      </c>
    </row>
    <row r="268" spans="1:21" x14ac:dyDescent="0.35">
      <c r="A268">
        <v>378</v>
      </c>
      <c r="B268" t="s">
        <v>1160</v>
      </c>
      <c r="C268" s="1">
        <v>45052</v>
      </c>
      <c r="D268" s="1">
        <v>45056</v>
      </c>
      <c r="E268" t="s">
        <v>290</v>
      </c>
      <c r="F268" t="s">
        <v>1161</v>
      </c>
      <c r="G268" t="s">
        <v>1162</v>
      </c>
      <c r="H268" t="s">
        <v>25</v>
      </c>
      <c r="I268" t="s">
        <v>26</v>
      </c>
      <c r="J268" t="s">
        <v>27</v>
      </c>
      <c r="K268" t="s">
        <v>27</v>
      </c>
      <c r="L268">
        <v>50927</v>
      </c>
      <c r="M268" t="s">
        <v>28</v>
      </c>
      <c r="N268" t="s">
        <v>1024</v>
      </c>
      <c r="O268" t="s">
        <v>41</v>
      </c>
      <c r="P268" t="s">
        <v>106</v>
      </c>
      <c r="Q268" t="s">
        <v>454</v>
      </c>
      <c r="R268" s="2">
        <v>51.8</v>
      </c>
      <c r="S268">
        <v>3</v>
      </c>
      <c r="T268" s="3">
        <v>0.1</v>
      </c>
      <c r="U268" s="2">
        <v>5.94</v>
      </c>
    </row>
    <row r="269" spans="1:21" x14ac:dyDescent="0.35">
      <c r="A269">
        <v>506</v>
      </c>
      <c r="B269" t="s">
        <v>1163</v>
      </c>
      <c r="C269" s="1">
        <v>45052</v>
      </c>
      <c r="D269" s="1">
        <v>45054</v>
      </c>
      <c r="E269" t="s">
        <v>45</v>
      </c>
      <c r="F269" t="s">
        <v>1164</v>
      </c>
      <c r="G269" t="s">
        <v>818</v>
      </c>
      <c r="H269" t="s">
        <v>25</v>
      </c>
      <c r="I269" t="s">
        <v>26</v>
      </c>
      <c r="J269" t="s">
        <v>472</v>
      </c>
      <c r="K269" t="s">
        <v>472</v>
      </c>
      <c r="L269">
        <v>96928</v>
      </c>
      <c r="M269" t="s">
        <v>56</v>
      </c>
      <c r="N269" t="s">
        <v>1165</v>
      </c>
      <c r="O269" t="s">
        <v>30</v>
      </c>
      <c r="P269" t="s">
        <v>157</v>
      </c>
      <c r="Q269" t="s">
        <v>158</v>
      </c>
      <c r="R269" s="2">
        <v>48.26</v>
      </c>
      <c r="S269">
        <v>3</v>
      </c>
      <c r="T269" s="3">
        <v>0.2</v>
      </c>
      <c r="U269" s="2">
        <v>-1.77</v>
      </c>
    </row>
    <row r="270" spans="1:21" x14ac:dyDescent="0.35">
      <c r="A270">
        <v>361</v>
      </c>
      <c r="B270" t="s">
        <v>1166</v>
      </c>
      <c r="C270" s="1">
        <v>45053</v>
      </c>
      <c r="D270" s="1">
        <v>45056</v>
      </c>
      <c r="E270" t="s">
        <v>45</v>
      </c>
      <c r="F270" t="s">
        <v>1167</v>
      </c>
      <c r="G270" t="s">
        <v>1009</v>
      </c>
      <c r="H270" t="s">
        <v>25</v>
      </c>
      <c r="I270" t="s">
        <v>26</v>
      </c>
      <c r="J270" t="s">
        <v>71</v>
      </c>
      <c r="K270" t="s">
        <v>71</v>
      </c>
      <c r="L270">
        <v>99317</v>
      </c>
      <c r="M270" t="s">
        <v>56</v>
      </c>
      <c r="N270" t="s">
        <v>1168</v>
      </c>
      <c r="O270" t="s">
        <v>30</v>
      </c>
      <c r="P270" t="s">
        <v>157</v>
      </c>
      <c r="Q270" t="s">
        <v>1169</v>
      </c>
      <c r="R270" s="2">
        <v>269.85000000000002</v>
      </c>
      <c r="S270">
        <v>4</v>
      </c>
      <c r="T270" s="3">
        <v>0.15</v>
      </c>
      <c r="U270" s="2">
        <v>12.61</v>
      </c>
    </row>
    <row r="271" spans="1:21" x14ac:dyDescent="0.35">
      <c r="A271">
        <v>80</v>
      </c>
      <c r="B271" t="s">
        <v>1170</v>
      </c>
      <c r="C271" s="1">
        <v>45053</v>
      </c>
      <c r="D271" s="1">
        <v>45056</v>
      </c>
      <c r="E271" t="s">
        <v>45</v>
      </c>
      <c r="F271" t="s">
        <v>1171</v>
      </c>
      <c r="G271" t="s">
        <v>471</v>
      </c>
      <c r="H271" t="s">
        <v>54</v>
      </c>
      <c r="I271" t="s">
        <v>26</v>
      </c>
      <c r="J271" t="s">
        <v>82</v>
      </c>
      <c r="K271" t="s">
        <v>82</v>
      </c>
      <c r="L271">
        <v>25251</v>
      </c>
      <c r="M271" t="s">
        <v>28</v>
      </c>
      <c r="N271" t="s">
        <v>935</v>
      </c>
      <c r="O271" t="s">
        <v>30</v>
      </c>
      <c r="P271" t="s">
        <v>31</v>
      </c>
      <c r="Q271" t="s">
        <v>1172</v>
      </c>
      <c r="R271" s="2">
        <v>210.1</v>
      </c>
      <c r="S271">
        <v>4</v>
      </c>
      <c r="T271" s="3">
        <v>0</v>
      </c>
      <c r="U271" s="2">
        <v>38.31</v>
      </c>
    </row>
    <row r="272" spans="1:21" x14ac:dyDescent="0.35">
      <c r="A272">
        <v>95</v>
      </c>
      <c r="B272" t="s">
        <v>1173</v>
      </c>
      <c r="C272" s="1">
        <v>45055</v>
      </c>
      <c r="D272" s="1">
        <v>45060</v>
      </c>
      <c r="E272" t="s">
        <v>34</v>
      </c>
      <c r="F272" t="s">
        <v>1174</v>
      </c>
      <c r="G272" t="s">
        <v>634</v>
      </c>
      <c r="H272" t="s">
        <v>54</v>
      </c>
      <c r="I272" t="s">
        <v>26</v>
      </c>
      <c r="J272" t="s">
        <v>187</v>
      </c>
      <c r="K272" t="s">
        <v>187</v>
      </c>
      <c r="L272">
        <v>19108</v>
      </c>
      <c r="M272" t="s">
        <v>39</v>
      </c>
      <c r="N272" t="s">
        <v>1175</v>
      </c>
      <c r="O272" t="s">
        <v>58</v>
      </c>
      <c r="P272" t="s">
        <v>112</v>
      </c>
      <c r="Q272" t="s">
        <v>1176</v>
      </c>
      <c r="R272" s="2">
        <v>194.95</v>
      </c>
      <c r="S272">
        <v>1</v>
      </c>
      <c r="T272" s="3">
        <v>0.1</v>
      </c>
      <c r="U272" s="2">
        <v>36.19</v>
      </c>
    </row>
    <row r="273" spans="1:21" x14ac:dyDescent="0.35">
      <c r="A273">
        <v>419</v>
      </c>
      <c r="B273" t="s">
        <v>1177</v>
      </c>
      <c r="C273" s="1">
        <v>45060</v>
      </c>
      <c r="D273" s="1">
        <v>45063</v>
      </c>
      <c r="E273" t="s">
        <v>34</v>
      </c>
      <c r="F273" t="s">
        <v>1178</v>
      </c>
      <c r="G273" t="s">
        <v>186</v>
      </c>
      <c r="H273" t="s">
        <v>25</v>
      </c>
      <c r="I273" t="s">
        <v>26</v>
      </c>
      <c r="J273" t="s">
        <v>204</v>
      </c>
      <c r="K273" t="s">
        <v>204</v>
      </c>
      <c r="L273">
        <v>22336</v>
      </c>
      <c r="M273" t="s">
        <v>39</v>
      </c>
      <c r="N273" t="s">
        <v>1179</v>
      </c>
      <c r="O273" t="s">
        <v>30</v>
      </c>
      <c r="P273" t="s">
        <v>100</v>
      </c>
      <c r="Q273" t="s">
        <v>781</v>
      </c>
      <c r="R273" s="2">
        <v>156.74</v>
      </c>
      <c r="S273">
        <v>1</v>
      </c>
      <c r="T273" s="3">
        <v>0.1</v>
      </c>
      <c r="U273" s="2">
        <v>12.18</v>
      </c>
    </row>
    <row r="274" spans="1:21" x14ac:dyDescent="0.35">
      <c r="A274">
        <v>312</v>
      </c>
      <c r="B274" t="s">
        <v>1180</v>
      </c>
      <c r="C274" s="1">
        <v>45062</v>
      </c>
      <c r="D274" s="1">
        <v>45065</v>
      </c>
      <c r="E274" t="s">
        <v>290</v>
      </c>
      <c r="F274" t="s">
        <v>1181</v>
      </c>
      <c r="G274" t="s">
        <v>382</v>
      </c>
      <c r="H274" t="s">
        <v>25</v>
      </c>
      <c r="I274" t="s">
        <v>26</v>
      </c>
      <c r="J274" t="s">
        <v>187</v>
      </c>
      <c r="K274" t="s">
        <v>187</v>
      </c>
      <c r="L274">
        <v>89737</v>
      </c>
      <c r="M274" t="s">
        <v>39</v>
      </c>
      <c r="N274" t="s">
        <v>1182</v>
      </c>
      <c r="O274" t="s">
        <v>41</v>
      </c>
      <c r="P274" t="s">
        <v>42</v>
      </c>
      <c r="Q274" t="s">
        <v>375</v>
      </c>
      <c r="R274" s="2">
        <v>46.61</v>
      </c>
      <c r="S274">
        <v>3</v>
      </c>
      <c r="T274" s="3">
        <v>0.4</v>
      </c>
      <c r="U274" s="2">
        <v>-4.6900000000000004</v>
      </c>
    </row>
    <row r="275" spans="1:21" x14ac:dyDescent="0.35">
      <c r="A275">
        <v>33</v>
      </c>
      <c r="B275" t="s">
        <v>1183</v>
      </c>
      <c r="C275" s="1">
        <v>45063</v>
      </c>
      <c r="D275" s="1">
        <v>45064</v>
      </c>
      <c r="E275" t="s">
        <v>34</v>
      </c>
      <c r="F275" t="s">
        <v>1184</v>
      </c>
      <c r="G275" t="s">
        <v>1185</v>
      </c>
      <c r="H275" t="s">
        <v>37</v>
      </c>
      <c r="I275" t="s">
        <v>26</v>
      </c>
      <c r="J275" t="s">
        <v>122</v>
      </c>
      <c r="K275" t="s">
        <v>122</v>
      </c>
      <c r="L275">
        <v>68141</v>
      </c>
      <c r="M275" t="s">
        <v>65</v>
      </c>
      <c r="N275" t="s">
        <v>1186</v>
      </c>
      <c r="O275" t="s">
        <v>41</v>
      </c>
      <c r="P275" t="s">
        <v>73</v>
      </c>
      <c r="Q275" t="s">
        <v>758</v>
      </c>
      <c r="R275" s="2">
        <v>41.28</v>
      </c>
      <c r="S275">
        <v>5</v>
      </c>
      <c r="T275" s="3">
        <v>0.4</v>
      </c>
      <c r="U275" s="2">
        <v>0.86</v>
      </c>
    </row>
    <row r="276" spans="1:21" x14ac:dyDescent="0.35">
      <c r="A276">
        <v>364</v>
      </c>
      <c r="B276" t="s">
        <v>1187</v>
      </c>
      <c r="C276" s="1">
        <v>45063</v>
      </c>
      <c r="D276" s="1">
        <v>45065</v>
      </c>
      <c r="E276" t="s">
        <v>45</v>
      </c>
      <c r="F276" t="s">
        <v>1188</v>
      </c>
      <c r="G276" t="s">
        <v>1009</v>
      </c>
      <c r="H276" t="s">
        <v>25</v>
      </c>
      <c r="I276" t="s">
        <v>26</v>
      </c>
      <c r="J276" t="s">
        <v>168</v>
      </c>
      <c r="K276" t="s">
        <v>168</v>
      </c>
      <c r="L276">
        <v>27948</v>
      </c>
      <c r="M276" t="s">
        <v>28</v>
      </c>
      <c r="N276" t="s">
        <v>1189</v>
      </c>
      <c r="O276" t="s">
        <v>30</v>
      </c>
      <c r="P276" t="s">
        <v>31</v>
      </c>
      <c r="Q276" t="s">
        <v>1190</v>
      </c>
      <c r="R276" s="2">
        <v>353.66</v>
      </c>
      <c r="S276">
        <v>4</v>
      </c>
      <c r="T276" s="3">
        <v>0</v>
      </c>
      <c r="U276" s="2">
        <v>26.48</v>
      </c>
    </row>
    <row r="277" spans="1:21" x14ac:dyDescent="0.35">
      <c r="A277">
        <v>351</v>
      </c>
      <c r="B277" t="s">
        <v>1191</v>
      </c>
      <c r="C277" s="1">
        <v>45064</v>
      </c>
      <c r="D277" s="1">
        <v>45067</v>
      </c>
      <c r="E277" t="s">
        <v>34</v>
      </c>
      <c r="F277" t="s">
        <v>1192</v>
      </c>
      <c r="G277" t="s">
        <v>439</v>
      </c>
      <c r="H277" t="s">
        <v>54</v>
      </c>
      <c r="I277" t="s">
        <v>26</v>
      </c>
      <c r="J277" t="s">
        <v>71</v>
      </c>
      <c r="K277" t="s">
        <v>71</v>
      </c>
      <c r="L277">
        <v>21826</v>
      </c>
      <c r="M277" t="s">
        <v>56</v>
      </c>
      <c r="N277" t="s">
        <v>1193</v>
      </c>
      <c r="O277" t="s">
        <v>30</v>
      </c>
      <c r="P277" t="s">
        <v>157</v>
      </c>
      <c r="Q277" t="s">
        <v>583</v>
      </c>
      <c r="R277" s="2">
        <v>195.27</v>
      </c>
      <c r="S277">
        <v>6</v>
      </c>
      <c r="T277" s="3">
        <v>0.3</v>
      </c>
      <c r="U277" s="2">
        <v>-24.88</v>
      </c>
    </row>
    <row r="278" spans="1:21" x14ac:dyDescent="0.35">
      <c r="A278">
        <v>189</v>
      </c>
      <c r="B278" t="s">
        <v>1194</v>
      </c>
      <c r="C278" s="1">
        <v>45065</v>
      </c>
      <c r="D278" s="1">
        <v>45069</v>
      </c>
      <c r="E278" t="s">
        <v>34</v>
      </c>
      <c r="F278" t="s">
        <v>1195</v>
      </c>
      <c r="G278" t="s">
        <v>625</v>
      </c>
      <c r="H278" t="s">
        <v>25</v>
      </c>
      <c r="I278" t="s">
        <v>26</v>
      </c>
      <c r="J278" t="s">
        <v>71</v>
      </c>
      <c r="K278" t="s">
        <v>71</v>
      </c>
      <c r="L278">
        <v>37128</v>
      </c>
      <c r="M278" t="s">
        <v>56</v>
      </c>
      <c r="N278" t="s">
        <v>1196</v>
      </c>
      <c r="O278" t="s">
        <v>41</v>
      </c>
      <c r="P278" t="s">
        <v>170</v>
      </c>
      <c r="Q278" t="s">
        <v>436</v>
      </c>
      <c r="R278" s="2">
        <v>28.63</v>
      </c>
      <c r="S278">
        <v>3</v>
      </c>
      <c r="T278" s="3">
        <v>0.1</v>
      </c>
      <c r="U278" s="2">
        <v>2.33</v>
      </c>
    </row>
    <row r="279" spans="1:21" x14ac:dyDescent="0.35">
      <c r="A279">
        <v>45</v>
      </c>
      <c r="B279" t="s">
        <v>1197</v>
      </c>
      <c r="C279" s="1">
        <v>45065</v>
      </c>
      <c r="D279" s="1">
        <v>45069</v>
      </c>
      <c r="E279" t="s">
        <v>34</v>
      </c>
      <c r="F279" t="s">
        <v>1198</v>
      </c>
      <c r="G279" t="s">
        <v>1199</v>
      </c>
      <c r="H279" t="s">
        <v>37</v>
      </c>
      <c r="I279" t="s">
        <v>26</v>
      </c>
      <c r="J279" t="s">
        <v>277</v>
      </c>
      <c r="K279" t="s">
        <v>277</v>
      </c>
      <c r="L279">
        <v>77584</v>
      </c>
      <c r="M279" t="s">
        <v>56</v>
      </c>
      <c r="N279" t="s">
        <v>66</v>
      </c>
      <c r="O279" t="s">
        <v>58</v>
      </c>
      <c r="P279" t="s">
        <v>307</v>
      </c>
      <c r="Q279" t="s">
        <v>542</v>
      </c>
      <c r="R279" s="2">
        <v>100.79</v>
      </c>
      <c r="S279">
        <v>6</v>
      </c>
      <c r="T279" s="3">
        <v>0.5</v>
      </c>
      <c r="U279" s="2">
        <v>-13.2</v>
      </c>
    </row>
    <row r="280" spans="1:21" x14ac:dyDescent="0.35">
      <c r="A280">
        <v>265</v>
      </c>
      <c r="B280" t="s">
        <v>1200</v>
      </c>
      <c r="C280" s="1">
        <v>45066</v>
      </c>
      <c r="D280" s="1">
        <v>45068</v>
      </c>
      <c r="E280" t="s">
        <v>34</v>
      </c>
      <c r="F280" t="s">
        <v>1201</v>
      </c>
      <c r="G280" t="s">
        <v>138</v>
      </c>
      <c r="H280" t="s">
        <v>25</v>
      </c>
      <c r="I280" t="s">
        <v>26</v>
      </c>
      <c r="J280" t="s">
        <v>82</v>
      </c>
      <c r="K280" t="s">
        <v>82</v>
      </c>
      <c r="L280">
        <v>29053</v>
      </c>
      <c r="M280" t="s">
        <v>28</v>
      </c>
      <c r="N280" t="s">
        <v>1202</v>
      </c>
      <c r="O280" t="s">
        <v>41</v>
      </c>
      <c r="P280" t="s">
        <v>106</v>
      </c>
      <c r="Q280" t="s">
        <v>141</v>
      </c>
      <c r="R280" s="2">
        <v>182.47</v>
      </c>
      <c r="S280">
        <v>1</v>
      </c>
      <c r="T280" s="3">
        <v>0.5</v>
      </c>
      <c r="U280" s="2">
        <v>-15.87</v>
      </c>
    </row>
    <row r="281" spans="1:21" x14ac:dyDescent="0.35">
      <c r="A281">
        <v>385</v>
      </c>
      <c r="B281" t="s">
        <v>1203</v>
      </c>
      <c r="C281" s="1">
        <v>45067</v>
      </c>
      <c r="D281" s="1">
        <v>45071</v>
      </c>
      <c r="E281" t="s">
        <v>34</v>
      </c>
      <c r="F281" t="s">
        <v>1204</v>
      </c>
      <c r="G281" t="s">
        <v>550</v>
      </c>
      <c r="H281" t="s">
        <v>37</v>
      </c>
      <c r="I281" t="s">
        <v>26</v>
      </c>
      <c r="J281" t="s">
        <v>139</v>
      </c>
      <c r="K281" t="s">
        <v>139</v>
      </c>
      <c r="L281">
        <v>60715</v>
      </c>
      <c r="M281" t="s">
        <v>65</v>
      </c>
      <c r="N281" t="s">
        <v>1031</v>
      </c>
      <c r="O281" t="s">
        <v>30</v>
      </c>
      <c r="P281" t="s">
        <v>31</v>
      </c>
      <c r="Q281" t="s">
        <v>1059</v>
      </c>
      <c r="R281" s="2">
        <v>308.13</v>
      </c>
      <c r="S281">
        <v>5</v>
      </c>
      <c r="T281" s="3">
        <v>0.3</v>
      </c>
      <c r="U281" s="2">
        <v>-4.32</v>
      </c>
    </row>
    <row r="282" spans="1:21" x14ac:dyDescent="0.35">
      <c r="A282">
        <v>372</v>
      </c>
      <c r="B282" t="s">
        <v>1205</v>
      </c>
      <c r="C282" s="1">
        <v>45067</v>
      </c>
      <c r="D282" s="1">
        <v>45072</v>
      </c>
      <c r="E282" t="s">
        <v>45</v>
      </c>
      <c r="F282" t="s">
        <v>1206</v>
      </c>
      <c r="G282" t="s">
        <v>1207</v>
      </c>
      <c r="H282" t="s">
        <v>54</v>
      </c>
      <c r="I282" t="s">
        <v>26</v>
      </c>
      <c r="J282" t="s">
        <v>55</v>
      </c>
      <c r="K282" t="s">
        <v>55</v>
      </c>
      <c r="L282">
        <v>82069</v>
      </c>
      <c r="M282" t="s">
        <v>56</v>
      </c>
      <c r="N282" t="s">
        <v>1208</v>
      </c>
      <c r="O282" t="s">
        <v>58</v>
      </c>
      <c r="P282" t="s">
        <v>59</v>
      </c>
      <c r="Q282" t="s">
        <v>1015</v>
      </c>
      <c r="R282" s="2">
        <v>370.61</v>
      </c>
      <c r="S282">
        <v>2</v>
      </c>
      <c r="T282" s="3">
        <v>0.1</v>
      </c>
      <c r="U282" s="2">
        <v>81.709999999999994</v>
      </c>
    </row>
    <row r="283" spans="1:21" x14ac:dyDescent="0.35">
      <c r="A283">
        <v>366</v>
      </c>
      <c r="B283" t="s">
        <v>1209</v>
      </c>
      <c r="C283" s="1">
        <v>45067</v>
      </c>
      <c r="D283" s="1">
        <v>45071</v>
      </c>
      <c r="E283" t="s">
        <v>290</v>
      </c>
      <c r="F283" t="s">
        <v>1210</v>
      </c>
      <c r="G283" t="s">
        <v>24</v>
      </c>
      <c r="H283" t="s">
        <v>25</v>
      </c>
      <c r="I283" t="s">
        <v>26</v>
      </c>
      <c r="J283" t="s">
        <v>472</v>
      </c>
      <c r="K283" t="s">
        <v>472</v>
      </c>
      <c r="L283">
        <v>80871</v>
      </c>
      <c r="M283" t="s">
        <v>56</v>
      </c>
      <c r="N283" t="s">
        <v>757</v>
      </c>
      <c r="O283" t="s">
        <v>30</v>
      </c>
      <c r="P283" t="s">
        <v>31</v>
      </c>
      <c r="Q283" t="s">
        <v>431</v>
      </c>
      <c r="R283" s="2">
        <v>210.93</v>
      </c>
      <c r="S283">
        <v>1</v>
      </c>
      <c r="T283" s="3">
        <v>0.15</v>
      </c>
      <c r="U283" s="2">
        <v>19.170000000000002</v>
      </c>
    </row>
    <row r="284" spans="1:21" x14ac:dyDescent="0.35">
      <c r="A284">
        <v>177</v>
      </c>
      <c r="B284" t="s">
        <v>1211</v>
      </c>
      <c r="C284" s="1">
        <v>45068</v>
      </c>
      <c r="D284" s="1">
        <v>45071</v>
      </c>
      <c r="E284" t="s">
        <v>34</v>
      </c>
      <c r="F284" t="s">
        <v>1212</v>
      </c>
      <c r="G284" t="s">
        <v>238</v>
      </c>
      <c r="H284" t="s">
        <v>37</v>
      </c>
      <c r="I284" t="s">
        <v>26</v>
      </c>
      <c r="J284" t="s">
        <v>38</v>
      </c>
      <c r="K284" t="s">
        <v>38</v>
      </c>
      <c r="L284">
        <v>26241</v>
      </c>
      <c r="M284" t="s">
        <v>39</v>
      </c>
      <c r="N284" t="s">
        <v>1213</v>
      </c>
      <c r="O284" t="s">
        <v>58</v>
      </c>
      <c r="P284" t="s">
        <v>89</v>
      </c>
      <c r="Q284" t="s">
        <v>1214</v>
      </c>
      <c r="R284" s="2">
        <v>132.16999999999999</v>
      </c>
      <c r="S284">
        <v>1</v>
      </c>
      <c r="T284" s="3">
        <v>0.1</v>
      </c>
      <c r="U284" s="2">
        <v>22.4</v>
      </c>
    </row>
    <row r="285" spans="1:21" x14ac:dyDescent="0.35">
      <c r="A285">
        <v>191</v>
      </c>
      <c r="B285" t="s">
        <v>1215</v>
      </c>
      <c r="C285" s="1">
        <v>45070</v>
      </c>
      <c r="D285" s="1">
        <v>45075</v>
      </c>
      <c r="E285" t="s">
        <v>34</v>
      </c>
      <c r="F285" t="s">
        <v>1216</v>
      </c>
      <c r="G285" t="s">
        <v>209</v>
      </c>
      <c r="H285" t="s">
        <v>25</v>
      </c>
      <c r="I285" t="s">
        <v>26</v>
      </c>
      <c r="J285" t="s">
        <v>233</v>
      </c>
      <c r="K285" t="s">
        <v>233</v>
      </c>
      <c r="L285">
        <v>22112</v>
      </c>
      <c r="M285" t="s">
        <v>65</v>
      </c>
      <c r="N285" t="s">
        <v>374</v>
      </c>
      <c r="O285" t="s">
        <v>30</v>
      </c>
      <c r="P285" t="s">
        <v>31</v>
      </c>
      <c r="Q285" t="s">
        <v>1172</v>
      </c>
      <c r="R285" s="2">
        <v>112.29</v>
      </c>
      <c r="S285">
        <v>3</v>
      </c>
      <c r="T285" s="3">
        <v>0</v>
      </c>
      <c r="U285" s="2">
        <v>24.5</v>
      </c>
    </row>
    <row r="286" spans="1:21" x14ac:dyDescent="0.35">
      <c r="A286">
        <v>102</v>
      </c>
      <c r="B286" t="s">
        <v>1217</v>
      </c>
      <c r="C286" s="1">
        <v>45070</v>
      </c>
      <c r="D286" s="1">
        <v>45071</v>
      </c>
      <c r="E286" t="s">
        <v>45</v>
      </c>
      <c r="F286" t="s">
        <v>1218</v>
      </c>
      <c r="G286" t="s">
        <v>477</v>
      </c>
      <c r="H286" t="s">
        <v>37</v>
      </c>
      <c r="I286" t="s">
        <v>26</v>
      </c>
      <c r="J286" t="s">
        <v>181</v>
      </c>
      <c r="K286" t="s">
        <v>181</v>
      </c>
      <c r="L286">
        <v>48467</v>
      </c>
      <c r="M286" t="s">
        <v>65</v>
      </c>
      <c r="N286" t="s">
        <v>365</v>
      </c>
      <c r="O286" t="s">
        <v>58</v>
      </c>
      <c r="P286" t="s">
        <v>307</v>
      </c>
      <c r="Q286" t="s">
        <v>915</v>
      </c>
      <c r="R286" s="2">
        <v>627.27</v>
      </c>
      <c r="S286">
        <v>7</v>
      </c>
      <c r="T286" s="3">
        <v>0.1</v>
      </c>
      <c r="U286" s="2">
        <v>122.37</v>
      </c>
    </row>
    <row r="287" spans="1:21" x14ac:dyDescent="0.35">
      <c r="A287">
        <v>345</v>
      </c>
      <c r="B287" t="s">
        <v>1219</v>
      </c>
      <c r="C287" s="1">
        <v>45070</v>
      </c>
      <c r="D287" s="1">
        <v>45074</v>
      </c>
      <c r="E287" t="s">
        <v>290</v>
      </c>
      <c r="F287" t="s">
        <v>1220</v>
      </c>
      <c r="G287" t="s">
        <v>667</v>
      </c>
      <c r="H287" t="s">
        <v>25</v>
      </c>
      <c r="I287" t="s">
        <v>26</v>
      </c>
      <c r="J287" t="s">
        <v>38</v>
      </c>
      <c r="K287" t="s">
        <v>38</v>
      </c>
      <c r="L287">
        <v>18949</v>
      </c>
      <c r="M287" t="s">
        <v>39</v>
      </c>
      <c r="N287" t="s">
        <v>1221</v>
      </c>
      <c r="O287" t="s">
        <v>41</v>
      </c>
      <c r="P287" t="s">
        <v>151</v>
      </c>
      <c r="Q287" t="s">
        <v>1222</v>
      </c>
      <c r="R287" s="2">
        <v>52.46</v>
      </c>
      <c r="S287">
        <v>3</v>
      </c>
      <c r="T287" s="3">
        <v>0.05</v>
      </c>
      <c r="U287" s="2">
        <v>13.17</v>
      </c>
    </row>
    <row r="288" spans="1:21" x14ac:dyDescent="0.35">
      <c r="A288">
        <v>14</v>
      </c>
      <c r="B288" t="s">
        <v>1223</v>
      </c>
      <c r="C288" s="1">
        <v>45071</v>
      </c>
      <c r="D288" s="1">
        <v>45077</v>
      </c>
      <c r="E288" t="s">
        <v>34</v>
      </c>
      <c r="F288" t="s">
        <v>1224</v>
      </c>
      <c r="G288" t="s">
        <v>121</v>
      </c>
      <c r="H288" t="s">
        <v>25</v>
      </c>
      <c r="I288" t="s">
        <v>26</v>
      </c>
      <c r="J288" t="s">
        <v>64</v>
      </c>
      <c r="K288" t="s">
        <v>64</v>
      </c>
      <c r="L288">
        <v>68871</v>
      </c>
      <c r="M288" t="s">
        <v>65</v>
      </c>
      <c r="N288" t="s">
        <v>1225</v>
      </c>
      <c r="O288" t="s">
        <v>30</v>
      </c>
      <c r="P288" t="s">
        <v>100</v>
      </c>
      <c r="Q288" t="s">
        <v>1226</v>
      </c>
      <c r="R288" s="2">
        <v>127.04</v>
      </c>
      <c r="S288">
        <v>1</v>
      </c>
      <c r="T288" s="3">
        <v>0.05</v>
      </c>
      <c r="U288" s="2">
        <v>18.71</v>
      </c>
    </row>
    <row r="289" spans="1:21" x14ac:dyDescent="0.35">
      <c r="A289">
        <v>537</v>
      </c>
      <c r="B289" t="s">
        <v>1227</v>
      </c>
      <c r="C289" s="1">
        <v>45072</v>
      </c>
      <c r="D289" s="1">
        <v>45074</v>
      </c>
      <c r="E289" t="s">
        <v>34</v>
      </c>
      <c r="F289" t="s">
        <v>1228</v>
      </c>
      <c r="G289" t="s">
        <v>844</v>
      </c>
      <c r="H289" t="s">
        <v>37</v>
      </c>
      <c r="I289" t="s">
        <v>26</v>
      </c>
      <c r="J289" t="s">
        <v>27</v>
      </c>
      <c r="K289" t="s">
        <v>27</v>
      </c>
      <c r="L289">
        <v>34756</v>
      </c>
      <c r="M289" t="s">
        <v>28</v>
      </c>
      <c r="N289" t="s">
        <v>1229</v>
      </c>
      <c r="O289" t="s">
        <v>41</v>
      </c>
      <c r="P289" t="s">
        <v>106</v>
      </c>
      <c r="Q289" t="s">
        <v>1230</v>
      </c>
      <c r="R289" s="2">
        <v>91.16</v>
      </c>
      <c r="S289">
        <v>2</v>
      </c>
      <c r="T289" s="3">
        <v>0.15</v>
      </c>
      <c r="U289" s="2">
        <v>9.0500000000000007</v>
      </c>
    </row>
    <row r="290" spans="1:21" x14ac:dyDescent="0.35">
      <c r="A290">
        <v>358</v>
      </c>
      <c r="B290" t="s">
        <v>1231</v>
      </c>
      <c r="C290" s="1">
        <v>45075</v>
      </c>
      <c r="D290" s="1">
        <v>45078</v>
      </c>
      <c r="E290" t="s">
        <v>22</v>
      </c>
      <c r="F290" t="s">
        <v>1232</v>
      </c>
      <c r="G290" t="s">
        <v>730</v>
      </c>
      <c r="H290" t="s">
        <v>37</v>
      </c>
      <c r="I290" t="s">
        <v>26</v>
      </c>
      <c r="J290" t="s">
        <v>122</v>
      </c>
      <c r="K290" t="s">
        <v>122</v>
      </c>
      <c r="L290">
        <v>45268</v>
      </c>
      <c r="M290" t="s">
        <v>65</v>
      </c>
      <c r="N290" t="s">
        <v>1233</v>
      </c>
      <c r="O290" t="s">
        <v>30</v>
      </c>
      <c r="P290" t="s">
        <v>31</v>
      </c>
      <c r="Q290" t="s">
        <v>379</v>
      </c>
      <c r="R290" s="2">
        <v>207.08</v>
      </c>
      <c r="S290">
        <v>5</v>
      </c>
      <c r="T290" s="3">
        <v>0</v>
      </c>
      <c r="U290" s="2">
        <v>32.65</v>
      </c>
    </row>
    <row r="291" spans="1:21" x14ac:dyDescent="0.35">
      <c r="A291">
        <v>44</v>
      </c>
      <c r="B291" t="s">
        <v>1234</v>
      </c>
      <c r="C291" s="1">
        <v>45077</v>
      </c>
      <c r="D291" s="1">
        <v>45082</v>
      </c>
      <c r="E291" t="s">
        <v>22</v>
      </c>
      <c r="F291" t="s">
        <v>1235</v>
      </c>
      <c r="G291" t="s">
        <v>590</v>
      </c>
      <c r="H291" t="s">
        <v>25</v>
      </c>
      <c r="I291" t="s">
        <v>26</v>
      </c>
      <c r="J291" t="s">
        <v>127</v>
      </c>
      <c r="K291" t="s">
        <v>127</v>
      </c>
      <c r="L291">
        <v>10117</v>
      </c>
      <c r="M291" t="s">
        <v>56</v>
      </c>
      <c r="N291" t="s">
        <v>1236</v>
      </c>
      <c r="O291" t="s">
        <v>30</v>
      </c>
      <c r="P291" t="s">
        <v>176</v>
      </c>
      <c r="Q291" t="s">
        <v>596</v>
      </c>
      <c r="R291" s="2">
        <v>149</v>
      </c>
      <c r="S291">
        <v>5</v>
      </c>
      <c r="T291" s="3">
        <v>0.5</v>
      </c>
      <c r="U291" s="2">
        <v>-31.4</v>
      </c>
    </row>
    <row r="292" spans="1:21" x14ac:dyDescent="0.35">
      <c r="A292">
        <v>489</v>
      </c>
      <c r="B292" t="s">
        <v>1237</v>
      </c>
      <c r="C292" s="1">
        <v>45078</v>
      </c>
      <c r="D292" s="1">
        <v>45082</v>
      </c>
      <c r="E292" t="s">
        <v>34</v>
      </c>
      <c r="F292" t="s">
        <v>1238</v>
      </c>
      <c r="G292" t="s">
        <v>1239</v>
      </c>
      <c r="H292" t="s">
        <v>54</v>
      </c>
      <c r="I292" t="s">
        <v>26</v>
      </c>
      <c r="J292" t="s">
        <v>127</v>
      </c>
      <c r="K292" t="s">
        <v>127</v>
      </c>
      <c r="L292">
        <v>64816</v>
      </c>
      <c r="M292" t="s">
        <v>56</v>
      </c>
      <c r="N292" t="s">
        <v>1240</v>
      </c>
      <c r="O292" t="s">
        <v>58</v>
      </c>
      <c r="P292" t="s">
        <v>59</v>
      </c>
      <c r="Q292" t="s">
        <v>1241</v>
      </c>
      <c r="R292" s="2">
        <v>370.18</v>
      </c>
      <c r="S292">
        <v>3</v>
      </c>
      <c r="T292" s="3">
        <v>0.05</v>
      </c>
      <c r="U292" s="2">
        <v>77.05</v>
      </c>
    </row>
    <row r="293" spans="1:21" x14ac:dyDescent="0.35">
      <c r="A293">
        <v>226</v>
      </c>
      <c r="B293" t="s">
        <v>1242</v>
      </c>
      <c r="C293" s="1">
        <v>45080</v>
      </c>
      <c r="D293" s="1">
        <v>45083</v>
      </c>
      <c r="E293" t="s">
        <v>45</v>
      </c>
      <c r="F293" t="s">
        <v>1243</v>
      </c>
      <c r="G293" t="s">
        <v>1239</v>
      </c>
      <c r="H293" t="s">
        <v>25</v>
      </c>
      <c r="I293" t="s">
        <v>26</v>
      </c>
      <c r="J293" t="s">
        <v>48</v>
      </c>
      <c r="K293" t="s">
        <v>48</v>
      </c>
      <c r="L293">
        <v>19076</v>
      </c>
      <c r="M293" t="s">
        <v>39</v>
      </c>
      <c r="N293" t="s">
        <v>1244</v>
      </c>
      <c r="O293" t="s">
        <v>58</v>
      </c>
      <c r="P293" t="s">
        <v>89</v>
      </c>
      <c r="Q293" t="s">
        <v>1245</v>
      </c>
      <c r="R293" s="2">
        <v>116.17</v>
      </c>
      <c r="S293">
        <v>4</v>
      </c>
      <c r="T293" s="3">
        <v>0.05</v>
      </c>
      <c r="U293" s="2">
        <v>29.8</v>
      </c>
    </row>
    <row r="294" spans="1:21" x14ac:dyDescent="0.35">
      <c r="A294">
        <v>598</v>
      </c>
      <c r="B294" t="s">
        <v>1246</v>
      </c>
      <c r="C294" s="1">
        <v>45090</v>
      </c>
      <c r="D294" s="1">
        <v>45093</v>
      </c>
      <c r="E294" t="s">
        <v>34</v>
      </c>
      <c r="F294" t="s">
        <v>1247</v>
      </c>
      <c r="G294" t="s">
        <v>856</v>
      </c>
      <c r="H294" t="s">
        <v>37</v>
      </c>
      <c r="I294" t="s">
        <v>26</v>
      </c>
      <c r="J294" t="s">
        <v>162</v>
      </c>
      <c r="K294" t="s">
        <v>162</v>
      </c>
      <c r="L294">
        <v>67153</v>
      </c>
      <c r="M294" t="s">
        <v>28</v>
      </c>
      <c r="N294" t="s">
        <v>1213</v>
      </c>
      <c r="O294" t="s">
        <v>30</v>
      </c>
      <c r="P294" t="s">
        <v>157</v>
      </c>
      <c r="Q294" t="s">
        <v>1248</v>
      </c>
      <c r="R294" s="2">
        <v>131.07</v>
      </c>
      <c r="S294">
        <v>5</v>
      </c>
      <c r="T294" s="3">
        <v>0.15</v>
      </c>
      <c r="U294" s="2">
        <v>-2</v>
      </c>
    </row>
    <row r="295" spans="1:21" x14ac:dyDescent="0.35">
      <c r="A295">
        <v>170</v>
      </c>
      <c r="B295" t="s">
        <v>1249</v>
      </c>
      <c r="C295" s="1">
        <v>45094</v>
      </c>
      <c r="D295" s="1">
        <v>45097</v>
      </c>
      <c r="E295" t="s">
        <v>34</v>
      </c>
      <c r="F295" t="s">
        <v>1250</v>
      </c>
      <c r="G295" t="s">
        <v>282</v>
      </c>
      <c r="H295" t="s">
        <v>25</v>
      </c>
      <c r="I295" t="s">
        <v>26</v>
      </c>
      <c r="J295" t="s">
        <v>38</v>
      </c>
      <c r="K295" t="s">
        <v>38</v>
      </c>
      <c r="L295">
        <v>84619</v>
      </c>
      <c r="M295" t="s">
        <v>39</v>
      </c>
      <c r="N295" t="s">
        <v>1251</v>
      </c>
      <c r="O295" t="s">
        <v>41</v>
      </c>
      <c r="P295" t="s">
        <v>106</v>
      </c>
      <c r="Q295" t="s">
        <v>1252</v>
      </c>
      <c r="R295" s="2">
        <v>66.400000000000006</v>
      </c>
      <c r="S295">
        <v>3</v>
      </c>
      <c r="T295" s="3">
        <v>0.15</v>
      </c>
      <c r="U295" s="2">
        <v>4.5</v>
      </c>
    </row>
    <row r="296" spans="1:21" x14ac:dyDescent="0.35">
      <c r="A296">
        <v>530</v>
      </c>
      <c r="B296" t="s">
        <v>1253</v>
      </c>
      <c r="C296" s="1">
        <v>45098</v>
      </c>
      <c r="D296" s="1">
        <v>45101</v>
      </c>
      <c r="E296" t="s">
        <v>34</v>
      </c>
      <c r="F296" t="s">
        <v>1254</v>
      </c>
      <c r="G296" t="s">
        <v>155</v>
      </c>
      <c r="H296" t="s">
        <v>37</v>
      </c>
      <c r="I296" t="s">
        <v>26</v>
      </c>
      <c r="J296" t="s">
        <v>187</v>
      </c>
      <c r="K296" t="s">
        <v>187</v>
      </c>
      <c r="L296">
        <v>93029</v>
      </c>
      <c r="M296" t="s">
        <v>39</v>
      </c>
      <c r="N296" t="s">
        <v>1255</v>
      </c>
      <c r="O296" t="s">
        <v>58</v>
      </c>
      <c r="P296" t="s">
        <v>307</v>
      </c>
      <c r="Q296" t="s">
        <v>1018</v>
      </c>
      <c r="R296" s="2">
        <v>26.65</v>
      </c>
      <c r="S296">
        <v>5</v>
      </c>
      <c r="T296" s="3">
        <v>0.2</v>
      </c>
      <c r="U296" s="2">
        <v>3.17</v>
      </c>
    </row>
    <row r="297" spans="1:21" x14ac:dyDescent="0.35">
      <c r="A297">
        <v>454</v>
      </c>
      <c r="B297" t="s">
        <v>1256</v>
      </c>
      <c r="C297" s="1">
        <v>45098</v>
      </c>
      <c r="D297" s="1">
        <v>45102</v>
      </c>
      <c r="E297" t="s">
        <v>22</v>
      </c>
      <c r="F297" t="s">
        <v>1257</v>
      </c>
      <c r="G297" t="s">
        <v>321</v>
      </c>
      <c r="H297" t="s">
        <v>25</v>
      </c>
      <c r="I297" t="s">
        <v>26</v>
      </c>
      <c r="J297" t="s">
        <v>139</v>
      </c>
      <c r="K297" t="s">
        <v>139</v>
      </c>
      <c r="L297">
        <v>17446</v>
      </c>
      <c r="M297" t="s">
        <v>65</v>
      </c>
      <c r="N297" t="s">
        <v>1258</v>
      </c>
      <c r="O297" t="s">
        <v>41</v>
      </c>
      <c r="P297" t="s">
        <v>170</v>
      </c>
      <c r="Q297" t="s">
        <v>356</v>
      </c>
      <c r="R297" s="2">
        <v>125.73</v>
      </c>
      <c r="S297">
        <v>1</v>
      </c>
      <c r="T297" s="3">
        <v>0.15</v>
      </c>
      <c r="U297" s="2">
        <v>20.51</v>
      </c>
    </row>
    <row r="298" spans="1:21" x14ac:dyDescent="0.35">
      <c r="A298">
        <v>555</v>
      </c>
      <c r="B298" t="s">
        <v>1259</v>
      </c>
      <c r="C298" s="1">
        <v>45107</v>
      </c>
      <c r="D298" s="1">
        <v>45111</v>
      </c>
      <c r="E298" t="s">
        <v>34</v>
      </c>
      <c r="F298" t="s">
        <v>1260</v>
      </c>
      <c r="G298" t="s">
        <v>354</v>
      </c>
      <c r="H298" t="s">
        <v>25</v>
      </c>
      <c r="I298" t="s">
        <v>26</v>
      </c>
      <c r="J298" t="s">
        <v>181</v>
      </c>
      <c r="K298" t="s">
        <v>181</v>
      </c>
      <c r="L298">
        <v>59262</v>
      </c>
      <c r="M298" t="s">
        <v>65</v>
      </c>
      <c r="N298" t="s">
        <v>66</v>
      </c>
      <c r="O298" t="s">
        <v>58</v>
      </c>
      <c r="P298" t="s">
        <v>307</v>
      </c>
      <c r="Q298" t="s">
        <v>806</v>
      </c>
      <c r="R298" s="2">
        <v>45.72</v>
      </c>
      <c r="S298">
        <v>3</v>
      </c>
      <c r="T298" s="3">
        <v>0.4</v>
      </c>
      <c r="U298" s="2">
        <v>-1.66</v>
      </c>
    </row>
    <row r="299" spans="1:21" x14ac:dyDescent="0.35">
      <c r="A299">
        <v>574</v>
      </c>
      <c r="B299" t="s">
        <v>1261</v>
      </c>
      <c r="C299" s="1">
        <v>45107</v>
      </c>
      <c r="D299" s="1">
        <v>45111</v>
      </c>
      <c r="E299" t="s">
        <v>45</v>
      </c>
      <c r="F299" t="s">
        <v>1262</v>
      </c>
      <c r="G299" t="s">
        <v>884</v>
      </c>
      <c r="H299" t="s">
        <v>25</v>
      </c>
      <c r="I299" t="s">
        <v>26</v>
      </c>
      <c r="J299" t="s">
        <v>168</v>
      </c>
      <c r="K299" t="s">
        <v>168</v>
      </c>
      <c r="L299">
        <v>70695</v>
      </c>
      <c r="M299" t="s">
        <v>28</v>
      </c>
      <c r="N299" t="s">
        <v>1263</v>
      </c>
      <c r="O299" t="s">
        <v>41</v>
      </c>
      <c r="P299" t="s">
        <v>134</v>
      </c>
      <c r="Q299" t="s">
        <v>1264</v>
      </c>
      <c r="R299" s="2">
        <v>173.81</v>
      </c>
      <c r="S299">
        <v>6</v>
      </c>
      <c r="T299" s="3">
        <v>0.3</v>
      </c>
      <c r="U299" s="2">
        <v>-1.49</v>
      </c>
    </row>
    <row r="300" spans="1:21" x14ac:dyDescent="0.35">
      <c r="A300">
        <v>349</v>
      </c>
      <c r="B300" t="s">
        <v>1265</v>
      </c>
      <c r="C300" s="1">
        <v>45108</v>
      </c>
      <c r="D300" s="1">
        <v>45111</v>
      </c>
      <c r="E300" t="s">
        <v>34</v>
      </c>
      <c r="F300" t="s">
        <v>1266</v>
      </c>
      <c r="G300" t="s">
        <v>1267</v>
      </c>
      <c r="H300" t="s">
        <v>54</v>
      </c>
      <c r="I300" t="s">
        <v>26</v>
      </c>
      <c r="J300" t="s">
        <v>472</v>
      </c>
      <c r="K300" t="s">
        <v>472</v>
      </c>
      <c r="L300">
        <v>34014</v>
      </c>
      <c r="M300" t="s">
        <v>56</v>
      </c>
      <c r="N300" t="s">
        <v>1268</v>
      </c>
      <c r="O300" t="s">
        <v>41</v>
      </c>
      <c r="P300" t="s">
        <v>73</v>
      </c>
      <c r="Q300" t="s">
        <v>905</v>
      </c>
      <c r="R300" s="2">
        <v>173.05</v>
      </c>
      <c r="S300">
        <v>3</v>
      </c>
      <c r="T300" s="3">
        <v>0.05</v>
      </c>
      <c r="U300" s="2">
        <v>29.7</v>
      </c>
    </row>
    <row r="301" spans="1:21" x14ac:dyDescent="0.35">
      <c r="A301">
        <v>16</v>
      </c>
      <c r="B301" t="s">
        <v>1269</v>
      </c>
      <c r="C301" s="1">
        <v>45108</v>
      </c>
      <c r="D301" s="1">
        <v>45112</v>
      </c>
      <c r="E301" t="s">
        <v>34</v>
      </c>
      <c r="F301" t="s">
        <v>1270</v>
      </c>
      <c r="G301" t="s">
        <v>676</v>
      </c>
      <c r="H301" t="s">
        <v>25</v>
      </c>
      <c r="I301" t="s">
        <v>26</v>
      </c>
      <c r="J301" t="s">
        <v>82</v>
      </c>
      <c r="K301" t="s">
        <v>82</v>
      </c>
      <c r="L301">
        <v>75726</v>
      </c>
      <c r="M301" t="s">
        <v>28</v>
      </c>
      <c r="N301" t="s">
        <v>1271</v>
      </c>
      <c r="O301" t="s">
        <v>30</v>
      </c>
      <c r="P301" t="s">
        <v>100</v>
      </c>
      <c r="Q301" t="s">
        <v>781</v>
      </c>
      <c r="R301" s="2">
        <v>44.14</v>
      </c>
      <c r="S301">
        <v>5</v>
      </c>
      <c r="T301" s="3">
        <v>0.4</v>
      </c>
      <c r="U301" s="2">
        <v>-5.46</v>
      </c>
    </row>
    <row r="302" spans="1:21" x14ac:dyDescent="0.35">
      <c r="A302">
        <v>245</v>
      </c>
      <c r="B302" t="s">
        <v>1272</v>
      </c>
      <c r="C302" s="1">
        <v>45110</v>
      </c>
      <c r="D302" s="1">
        <v>45112</v>
      </c>
      <c r="E302" t="s">
        <v>45</v>
      </c>
      <c r="F302" t="s">
        <v>1273</v>
      </c>
      <c r="G302" t="s">
        <v>1125</v>
      </c>
      <c r="H302" t="s">
        <v>25</v>
      </c>
      <c r="I302" t="s">
        <v>26</v>
      </c>
      <c r="J302" t="s">
        <v>139</v>
      </c>
      <c r="K302" t="s">
        <v>139</v>
      </c>
      <c r="L302">
        <v>16078</v>
      </c>
      <c r="M302" t="s">
        <v>65</v>
      </c>
      <c r="N302" t="s">
        <v>1274</v>
      </c>
      <c r="O302" t="s">
        <v>41</v>
      </c>
      <c r="P302" t="s">
        <v>42</v>
      </c>
      <c r="Q302" t="s">
        <v>1275</v>
      </c>
      <c r="R302" s="2">
        <v>90.31</v>
      </c>
      <c r="S302">
        <v>3</v>
      </c>
      <c r="T302" s="3">
        <v>0.2</v>
      </c>
      <c r="U302" s="2">
        <v>4.71</v>
      </c>
    </row>
    <row r="303" spans="1:21" x14ac:dyDescent="0.35">
      <c r="A303">
        <v>309</v>
      </c>
      <c r="B303" t="s">
        <v>1276</v>
      </c>
      <c r="C303" s="1">
        <v>45115</v>
      </c>
      <c r="D303" s="1">
        <v>45117</v>
      </c>
      <c r="E303" t="s">
        <v>34</v>
      </c>
      <c r="F303" t="s">
        <v>1277</v>
      </c>
      <c r="G303" t="s">
        <v>186</v>
      </c>
      <c r="H303" t="s">
        <v>25</v>
      </c>
      <c r="I303" t="s">
        <v>26</v>
      </c>
      <c r="J303" t="s">
        <v>48</v>
      </c>
      <c r="K303" t="s">
        <v>48</v>
      </c>
      <c r="L303">
        <v>70892</v>
      </c>
      <c r="M303" t="s">
        <v>39</v>
      </c>
      <c r="N303" t="s">
        <v>1278</v>
      </c>
      <c r="O303" t="s">
        <v>41</v>
      </c>
      <c r="P303" t="s">
        <v>106</v>
      </c>
      <c r="Q303" t="s">
        <v>141</v>
      </c>
      <c r="R303" s="2">
        <v>26.97</v>
      </c>
      <c r="S303">
        <v>2</v>
      </c>
      <c r="T303" s="3">
        <v>0.4</v>
      </c>
      <c r="U303" s="2">
        <v>-1.36</v>
      </c>
    </row>
    <row r="304" spans="1:21" x14ac:dyDescent="0.35">
      <c r="A304">
        <v>264</v>
      </c>
      <c r="B304" t="s">
        <v>1279</v>
      </c>
      <c r="C304" s="1">
        <v>45115</v>
      </c>
      <c r="D304" s="1">
        <v>45117</v>
      </c>
      <c r="E304" t="s">
        <v>45</v>
      </c>
      <c r="F304" t="s">
        <v>1280</v>
      </c>
      <c r="G304" t="s">
        <v>634</v>
      </c>
      <c r="H304" t="s">
        <v>25</v>
      </c>
      <c r="I304" t="s">
        <v>26</v>
      </c>
      <c r="J304" t="s">
        <v>127</v>
      </c>
      <c r="K304" t="s">
        <v>127</v>
      </c>
      <c r="L304">
        <v>61033</v>
      </c>
      <c r="M304" t="s">
        <v>56</v>
      </c>
      <c r="N304" t="s">
        <v>668</v>
      </c>
      <c r="O304" t="s">
        <v>30</v>
      </c>
      <c r="P304" t="s">
        <v>157</v>
      </c>
      <c r="Q304" t="s">
        <v>1281</v>
      </c>
      <c r="R304" s="2">
        <v>115.52</v>
      </c>
      <c r="S304">
        <v>2</v>
      </c>
      <c r="T304" s="3">
        <v>0.05</v>
      </c>
      <c r="U304" s="2">
        <v>7.6</v>
      </c>
    </row>
    <row r="305" spans="1:21" x14ac:dyDescent="0.35">
      <c r="A305">
        <v>103</v>
      </c>
      <c r="B305" t="s">
        <v>1282</v>
      </c>
      <c r="C305" s="1">
        <v>45115</v>
      </c>
      <c r="D305" s="1">
        <v>45120</v>
      </c>
      <c r="E305" t="s">
        <v>45</v>
      </c>
      <c r="F305" t="s">
        <v>1283</v>
      </c>
      <c r="G305" t="s">
        <v>387</v>
      </c>
      <c r="H305" t="s">
        <v>37</v>
      </c>
      <c r="I305" t="s">
        <v>26</v>
      </c>
      <c r="J305" t="s">
        <v>139</v>
      </c>
      <c r="K305" t="s">
        <v>139</v>
      </c>
      <c r="L305">
        <v>78011</v>
      </c>
      <c r="M305" t="s">
        <v>65</v>
      </c>
      <c r="N305" t="s">
        <v>1284</v>
      </c>
      <c r="O305" t="s">
        <v>30</v>
      </c>
      <c r="P305" t="s">
        <v>100</v>
      </c>
      <c r="Q305" t="s">
        <v>781</v>
      </c>
      <c r="R305" s="2">
        <v>57.45</v>
      </c>
      <c r="S305">
        <v>4</v>
      </c>
      <c r="T305" s="3">
        <v>0.15</v>
      </c>
      <c r="U305" s="2">
        <v>2.33</v>
      </c>
    </row>
    <row r="306" spans="1:21" x14ac:dyDescent="0.35">
      <c r="A306">
        <v>283</v>
      </c>
      <c r="B306" t="s">
        <v>1285</v>
      </c>
      <c r="C306" s="1">
        <v>45118</v>
      </c>
      <c r="D306" s="1">
        <v>45121</v>
      </c>
      <c r="E306" t="s">
        <v>290</v>
      </c>
      <c r="F306" t="s">
        <v>1286</v>
      </c>
      <c r="G306" t="s">
        <v>826</v>
      </c>
      <c r="H306" t="s">
        <v>37</v>
      </c>
      <c r="I306" t="s">
        <v>26</v>
      </c>
      <c r="J306" t="s">
        <v>331</v>
      </c>
      <c r="K306" t="s">
        <v>331</v>
      </c>
      <c r="L306">
        <v>62151</v>
      </c>
      <c r="M306" t="s">
        <v>28</v>
      </c>
      <c r="N306" t="s">
        <v>1287</v>
      </c>
      <c r="O306" t="s">
        <v>41</v>
      </c>
      <c r="P306" t="s">
        <v>170</v>
      </c>
      <c r="Q306" t="s">
        <v>1288</v>
      </c>
      <c r="R306" s="2">
        <v>37.950000000000003</v>
      </c>
      <c r="S306">
        <v>7</v>
      </c>
      <c r="T306" s="3">
        <v>0</v>
      </c>
      <c r="U306" s="2">
        <v>8.4600000000000009</v>
      </c>
    </row>
    <row r="307" spans="1:21" x14ac:dyDescent="0.35">
      <c r="A307">
        <v>173</v>
      </c>
      <c r="B307" t="s">
        <v>1289</v>
      </c>
      <c r="C307" s="1">
        <v>45119</v>
      </c>
      <c r="D307" s="1">
        <v>45121</v>
      </c>
      <c r="E307" t="s">
        <v>22</v>
      </c>
      <c r="F307" t="s">
        <v>1290</v>
      </c>
      <c r="G307" t="s">
        <v>253</v>
      </c>
      <c r="H307" t="s">
        <v>37</v>
      </c>
      <c r="I307" t="s">
        <v>26</v>
      </c>
      <c r="J307" t="s">
        <v>127</v>
      </c>
      <c r="K307" t="s">
        <v>127</v>
      </c>
      <c r="L307">
        <v>95179</v>
      </c>
      <c r="M307" t="s">
        <v>56</v>
      </c>
      <c r="N307" t="s">
        <v>1291</v>
      </c>
      <c r="O307" t="s">
        <v>41</v>
      </c>
      <c r="P307" t="s">
        <v>151</v>
      </c>
      <c r="Q307" t="s">
        <v>219</v>
      </c>
      <c r="R307" s="2">
        <v>90.97</v>
      </c>
      <c r="S307">
        <v>7</v>
      </c>
      <c r="T307" s="3">
        <v>0.1</v>
      </c>
      <c r="U307" s="2">
        <v>13.51</v>
      </c>
    </row>
    <row r="308" spans="1:21" x14ac:dyDescent="0.35">
      <c r="A308">
        <v>322</v>
      </c>
      <c r="B308" t="s">
        <v>1292</v>
      </c>
      <c r="C308" s="1">
        <v>45119</v>
      </c>
      <c r="D308" s="1">
        <v>45122</v>
      </c>
      <c r="E308" t="s">
        <v>34</v>
      </c>
      <c r="F308" t="s">
        <v>1293</v>
      </c>
      <c r="G308" t="s">
        <v>36</v>
      </c>
      <c r="H308" t="s">
        <v>25</v>
      </c>
      <c r="I308" t="s">
        <v>26</v>
      </c>
      <c r="J308" t="s">
        <v>27</v>
      </c>
      <c r="K308" t="s">
        <v>27</v>
      </c>
      <c r="L308">
        <v>80111</v>
      </c>
      <c r="M308" t="s">
        <v>28</v>
      </c>
      <c r="N308" t="s">
        <v>1294</v>
      </c>
      <c r="O308" t="s">
        <v>41</v>
      </c>
      <c r="P308" t="s">
        <v>73</v>
      </c>
      <c r="Q308" t="s">
        <v>323</v>
      </c>
      <c r="R308" s="2">
        <v>22</v>
      </c>
      <c r="S308">
        <v>6</v>
      </c>
      <c r="T308" s="3">
        <v>0.15</v>
      </c>
      <c r="U308" s="2">
        <v>2.61</v>
      </c>
    </row>
    <row r="309" spans="1:21" x14ac:dyDescent="0.35">
      <c r="A309">
        <v>588</v>
      </c>
      <c r="B309" t="s">
        <v>1295</v>
      </c>
      <c r="C309" s="1">
        <v>45120</v>
      </c>
      <c r="D309" s="1">
        <v>45123</v>
      </c>
      <c r="E309" t="s">
        <v>45</v>
      </c>
      <c r="F309" t="s">
        <v>1296</v>
      </c>
      <c r="G309" t="s">
        <v>765</v>
      </c>
      <c r="H309" t="s">
        <v>54</v>
      </c>
      <c r="I309" t="s">
        <v>26</v>
      </c>
      <c r="J309" t="s">
        <v>64</v>
      </c>
      <c r="K309" t="s">
        <v>64</v>
      </c>
      <c r="L309">
        <v>64068</v>
      </c>
      <c r="M309" t="s">
        <v>65</v>
      </c>
      <c r="N309" t="s">
        <v>1297</v>
      </c>
      <c r="O309" t="s">
        <v>30</v>
      </c>
      <c r="P309" t="s">
        <v>157</v>
      </c>
      <c r="Q309" t="s">
        <v>1298</v>
      </c>
      <c r="R309" s="2">
        <v>12</v>
      </c>
      <c r="S309">
        <v>1</v>
      </c>
      <c r="T309" s="3">
        <v>0.5</v>
      </c>
      <c r="U309" s="2">
        <v>-2.11</v>
      </c>
    </row>
    <row r="310" spans="1:21" x14ac:dyDescent="0.35">
      <c r="A310">
        <v>338</v>
      </c>
      <c r="B310" t="s">
        <v>1299</v>
      </c>
      <c r="C310" s="1">
        <v>45121</v>
      </c>
      <c r="D310" s="1">
        <v>45124</v>
      </c>
      <c r="E310" t="s">
        <v>45</v>
      </c>
      <c r="F310" t="s">
        <v>1300</v>
      </c>
      <c r="G310" t="s">
        <v>444</v>
      </c>
      <c r="H310" t="s">
        <v>37</v>
      </c>
      <c r="I310" t="s">
        <v>26</v>
      </c>
      <c r="J310" t="s">
        <v>277</v>
      </c>
      <c r="K310" t="s">
        <v>277</v>
      </c>
      <c r="L310">
        <v>16997</v>
      </c>
      <c r="M310" t="s">
        <v>56</v>
      </c>
      <c r="N310" t="s">
        <v>1301</v>
      </c>
      <c r="O310" t="s">
        <v>58</v>
      </c>
      <c r="P310" t="s">
        <v>59</v>
      </c>
      <c r="Q310" t="s">
        <v>1302</v>
      </c>
      <c r="R310" s="2">
        <v>207.9</v>
      </c>
      <c r="S310">
        <v>4</v>
      </c>
      <c r="T310" s="3">
        <v>0.4</v>
      </c>
      <c r="U310" s="2">
        <v>-5.21</v>
      </c>
    </row>
    <row r="311" spans="1:21" x14ac:dyDescent="0.35">
      <c r="A311">
        <v>600</v>
      </c>
      <c r="B311" t="s">
        <v>1303</v>
      </c>
      <c r="C311" s="1">
        <v>45129</v>
      </c>
      <c r="D311" s="1">
        <v>45132</v>
      </c>
      <c r="E311" t="s">
        <v>290</v>
      </c>
      <c r="F311" t="s">
        <v>1304</v>
      </c>
      <c r="G311" t="s">
        <v>248</v>
      </c>
      <c r="H311" t="s">
        <v>25</v>
      </c>
      <c r="I311" t="s">
        <v>26</v>
      </c>
      <c r="J311" t="s">
        <v>233</v>
      </c>
      <c r="K311" t="s">
        <v>233</v>
      </c>
      <c r="L311">
        <v>20681</v>
      </c>
      <c r="M311" t="s">
        <v>65</v>
      </c>
      <c r="N311" t="s">
        <v>1305</v>
      </c>
      <c r="O311" t="s">
        <v>41</v>
      </c>
      <c r="P311" t="s">
        <v>134</v>
      </c>
      <c r="Q311" t="s">
        <v>288</v>
      </c>
      <c r="R311" s="2">
        <v>31.43</v>
      </c>
      <c r="S311">
        <v>1</v>
      </c>
      <c r="T311" s="3">
        <v>0.2</v>
      </c>
      <c r="U311" s="2">
        <v>4.18</v>
      </c>
    </row>
    <row r="312" spans="1:21" x14ac:dyDescent="0.35">
      <c r="A312">
        <v>464</v>
      </c>
      <c r="B312" t="s">
        <v>1306</v>
      </c>
      <c r="C312" s="1">
        <v>45129</v>
      </c>
      <c r="D312" s="1">
        <v>45133</v>
      </c>
      <c r="E312" t="s">
        <v>34</v>
      </c>
      <c r="F312" t="s">
        <v>1307</v>
      </c>
      <c r="G312" t="s">
        <v>765</v>
      </c>
      <c r="H312" t="s">
        <v>54</v>
      </c>
      <c r="I312" t="s">
        <v>26</v>
      </c>
      <c r="J312" t="s">
        <v>187</v>
      </c>
      <c r="K312" t="s">
        <v>187</v>
      </c>
      <c r="L312">
        <v>92215</v>
      </c>
      <c r="M312" t="s">
        <v>39</v>
      </c>
      <c r="N312" t="s">
        <v>1308</v>
      </c>
      <c r="O312" t="s">
        <v>41</v>
      </c>
      <c r="P312" t="s">
        <v>151</v>
      </c>
      <c r="Q312" t="s">
        <v>219</v>
      </c>
      <c r="R312" s="2">
        <v>39.92</v>
      </c>
      <c r="S312">
        <v>2</v>
      </c>
      <c r="T312" s="3">
        <v>0.4</v>
      </c>
      <c r="U312" s="2">
        <v>-6.48</v>
      </c>
    </row>
    <row r="313" spans="1:21" x14ac:dyDescent="0.35">
      <c r="A313">
        <v>538</v>
      </c>
      <c r="B313" t="s">
        <v>1309</v>
      </c>
      <c r="C313" s="1">
        <v>45132</v>
      </c>
      <c r="D313" s="1">
        <v>45134</v>
      </c>
      <c r="E313" t="s">
        <v>34</v>
      </c>
      <c r="F313" t="s">
        <v>1310</v>
      </c>
      <c r="G313" t="s">
        <v>209</v>
      </c>
      <c r="H313" t="s">
        <v>25</v>
      </c>
      <c r="I313" t="s">
        <v>26</v>
      </c>
      <c r="J313" t="s">
        <v>168</v>
      </c>
      <c r="K313" t="s">
        <v>168</v>
      </c>
      <c r="L313">
        <v>74732</v>
      </c>
      <c r="M313" t="s">
        <v>28</v>
      </c>
      <c r="N313" t="s">
        <v>1311</v>
      </c>
      <c r="O313" t="s">
        <v>58</v>
      </c>
      <c r="P313" t="s">
        <v>89</v>
      </c>
      <c r="Q313" t="s">
        <v>1312</v>
      </c>
      <c r="R313" s="2">
        <v>422.82</v>
      </c>
      <c r="S313">
        <v>1</v>
      </c>
      <c r="T313" s="3">
        <v>0.2</v>
      </c>
      <c r="U313" s="2">
        <v>73.83</v>
      </c>
    </row>
    <row r="314" spans="1:21" x14ac:dyDescent="0.35">
      <c r="A314">
        <v>108</v>
      </c>
      <c r="B314" t="s">
        <v>1313</v>
      </c>
      <c r="C314" s="1">
        <v>45139</v>
      </c>
      <c r="D314" s="1">
        <v>45141</v>
      </c>
      <c r="E314" t="s">
        <v>22</v>
      </c>
      <c r="F314" t="s">
        <v>1314</v>
      </c>
      <c r="G314" t="s">
        <v>575</v>
      </c>
      <c r="H314" t="s">
        <v>37</v>
      </c>
      <c r="I314" t="s">
        <v>26</v>
      </c>
      <c r="J314" t="s">
        <v>193</v>
      </c>
      <c r="K314" t="s">
        <v>193</v>
      </c>
      <c r="L314">
        <v>60200</v>
      </c>
      <c r="M314" t="s">
        <v>39</v>
      </c>
      <c r="N314" t="s">
        <v>1315</v>
      </c>
      <c r="O314" t="s">
        <v>41</v>
      </c>
      <c r="P314" t="s">
        <v>73</v>
      </c>
      <c r="Q314" t="s">
        <v>770</v>
      </c>
      <c r="R314" s="2">
        <v>61.91</v>
      </c>
      <c r="S314">
        <v>6</v>
      </c>
      <c r="T314" s="3">
        <v>0.3</v>
      </c>
      <c r="U314" s="2">
        <v>1.04</v>
      </c>
    </row>
    <row r="315" spans="1:21" x14ac:dyDescent="0.35">
      <c r="A315">
        <v>58</v>
      </c>
      <c r="B315" t="s">
        <v>1316</v>
      </c>
      <c r="C315" s="1">
        <v>45140</v>
      </c>
      <c r="D315" s="1">
        <v>45145</v>
      </c>
      <c r="E315" t="s">
        <v>290</v>
      </c>
      <c r="F315" t="s">
        <v>1317</v>
      </c>
      <c r="G315" t="s">
        <v>345</v>
      </c>
      <c r="H315" t="s">
        <v>37</v>
      </c>
      <c r="I315" t="s">
        <v>26</v>
      </c>
      <c r="J315" t="s">
        <v>82</v>
      </c>
      <c r="K315" t="s">
        <v>82</v>
      </c>
      <c r="L315">
        <v>63394</v>
      </c>
      <c r="M315" t="s">
        <v>28</v>
      </c>
      <c r="N315" t="s">
        <v>1318</v>
      </c>
      <c r="O315" t="s">
        <v>30</v>
      </c>
      <c r="P315" t="s">
        <v>157</v>
      </c>
      <c r="Q315" t="s">
        <v>583</v>
      </c>
      <c r="R315" s="2">
        <v>28.84</v>
      </c>
      <c r="S315">
        <v>2</v>
      </c>
      <c r="T315" s="3">
        <v>0</v>
      </c>
      <c r="U315" s="2">
        <v>3.3</v>
      </c>
    </row>
    <row r="316" spans="1:21" x14ac:dyDescent="0.35">
      <c r="A316">
        <v>441</v>
      </c>
      <c r="B316" t="s">
        <v>1319</v>
      </c>
      <c r="C316" s="1">
        <v>45145</v>
      </c>
      <c r="D316" s="1">
        <v>45150</v>
      </c>
      <c r="E316" t="s">
        <v>22</v>
      </c>
      <c r="F316" t="s">
        <v>1320</v>
      </c>
      <c r="G316" t="s">
        <v>1092</v>
      </c>
      <c r="H316" t="s">
        <v>54</v>
      </c>
      <c r="I316" t="s">
        <v>26</v>
      </c>
      <c r="J316" t="s">
        <v>181</v>
      </c>
      <c r="K316" t="s">
        <v>181</v>
      </c>
      <c r="L316">
        <v>91741</v>
      </c>
      <c r="M316" t="s">
        <v>65</v>
      </c>
      <c r="N316" t="s">
        <v>1321</v>
      </c>
      <c r="O316" t="s">
        <v>41</v>
      </c>
      <c r="P316" t="s">
        <v>73</v>
      </c>
      <c r="Q316" t="s">
        <v>1322</v>
      </c>
      <c r="R316" s="2">
        <v>107.17</v>
      </c>
      <c r="S316">
        <v>6</v>
      </c>
      <c r="T316" s="3">
        <v>0.2</v>
      </c>
      <c r="U316" s="2">
        <v>3.76</v>
      </c>
    </row>
    <row r="317" spans="1:21" x14ac:dyDescent="0.35">
      <c r="A317">
        <v>185</v>
      </c>
      <c r="B317" t="s">
        <v>1323</v>
      </c>
      <c r="C317" s="1">
        <v>45149</v>
      </c>
      <c r="D317" s="1">
        <v>45153</v>
      </c>
      <c r="E317" t="s">
        <v>22</v>
      </c>
      <c r="F317" t="s">
        <v>1324</v>
      </c>
      <c r="G317" t="s">
        <v>1325</v>
      </c>
      <c r="H317" t="s">
        <v>54</v>
      </c>
      <c r="I317" t="s">
        <v>26</v>
      </c>
      <c r="J317" t="s">
        <v>187</v>
      </c>
      <c r="K317" t="s">
        <v>187</v>
      </c>
      <c r="L317">
        <v>49464</v>
      </c>
      <c r="M317" t="s">
        <v>39</v>
      </c>
      <c r="N317" t="s">
        <v>1326</v>
      </c>
      <c r="O317" t="s">
        <v>30</v>
      </c>
      <c r="P317" t="s">
        <v>176</v>
      </c>
      <c r="Q317" t="s">
        <v>592</v>
      </c>
      <c r="R317" s="2">
        <v>247.33</v>
      </c>
      <c r="S317">
        <v>4</v>
      </c>
      <c r="T317" s="3">
        <v>0.3</v>
      </c>
      <c r="U317" s="2">
        <v>-18.53</v>
      </c>
    </row>
    <row r="318" spans="1:21" x14ac:dyDescent="0.35">
      <c r="A318">
        <v>516</v>
      </c>
      <c r="B318" t="s">
        <v>1327</v>
      </c>
      <c r="C318" s="1">
        <v>45151</v>
      </c>
      <c r="D318" s="1">
        <v>45154</v>
      </c>
      <c r="E318" t="s">
        <v>45</v>
      </c>
      <c r="F318" t="s">
        <v>1328</v>
      </c>
      <c r="G318" t="s">
        <v>121</v>
      </c>
      <c r="H318" t="s">
        <v>37</v>
      </c>
      <c r="I318" t="s">
        <v>26</v>
      </c>
      <c r="J318" t="s">
        <v>181</v>
      </c>
      <c r="K318" t="s">
        <v>181</v>
      </c>
      <c r="L318">
        <v>72409</v>
      </c>
      <c r="M318" t="s">
        <v>65</v>
      </c>
      <c r="N318" t="s">
        <v>1329</v>
      </c>
      <c r="O318" t="s">
        <v>41</v>
      </c>
      <c r="P318" t="s">
        <v>73</v>
      </c>
      <c r="Q318" t="s">
        <v>846</v>
      </c>
      <c r="R318" s="2">
        <v>37.619999999999997</v>
      </c>
      <c r="S318">
        <v>2</v>
      </c>
      <c r="T318" s="3">
        <v>0.15</v>
      </c>
      <c r="U318" s="2">
        <v>6.41</v>
      </c>
    </row>
    <row r="319" spans="1:21" x14ac:dyDescent="0.35">
      <c r="A319">
        <v>544</v>
      </c>
      <c r="B319" t="s">
        <v>1330</v>
      </c>
      <c r="C319" s="1">
        <v>45153</v>
      </c>
      <c r="D319" s="1">
        <v>45155</v>
      </c>
      <c r="E319" t="s">
        <v>22</v>
      </c>
      <c r="F319" t="s">
        <v>1331</v>
      </c>
      <c r="G319" t="s">
        <v>1162</v>
      </c>
      <c r="H319" t="s">
        <v>37</v>
      </c>
      <c r="I319" t="s">
        <v>26</v>
      </c>
      <c r="J319" t="s">
        <v>48</v>
      </c>
      <c r="K319" t="s">
        <v>48</v>
      </c>
      <c r="L319">
        <v>15813</v>
      </c>
      <c r="M319" t="s">
        <v>39</v>
      </c>
      <c r="N319" t="s">
        <v>133</v>
      </c>
      <c r="O319" t="s">
        <v>30</v>
      </c>
      <c r="P319" t="s">
        <v>176</v>
      </c>
      <c r="Q319" t="s">
        <v>384</v>
      </c>
      <c r="R319" s="2">
        <v>208.42</v>
      </c>
      <c r="S319">
        <v>5</v>
      </c>
      <c r="T319" s="3">
        <v>0.5</v>
      </c>
      <c r="U319" s="2">
        <v>-51.64</v>
      </c>
    </row>
    <row r="320" spans="1:21" x14ac:dyDescent="0.35">
      <c r="A320">
        <v>531</v>
      </c>
      <c r="B320" t="s">
        <v>1332</v>
      </c>
      <c r="C320" s="1">
        <v>45154</v>
      </c>
      <c r="D320" s="1">
        <v>45157</v>
      </c>
      <c r="E320" t="s">
        <v>45</v>
      </c>
      <c r="F320" t="s">
        <v>1333</v>
      </c>
      <c r="G320" t="s">
        <v>681</v>
      </c>
      <c r="H320" t="s">
        <v>25</v>
      </c>
      <c r="I320" t="s">
        <v>26</v>
      </c>
      <c r="J320" t="s">
        <v>82</v>
      </c>
      <c r="K320" t="s">
        <v>82</v>
      </c>
      <c r="L320">
        <v>74377</v>
      </c>
      <c r="M320" t="s">
        <v>28</v>
      </c>
      <c r="N320" t="s">
        <v>1334</v>
      </c>
      <c r="O320" t="s">
        <v>30</v>
      </c>
      <c r="P320" t="s">
        <v>31</v>
      </c>
      <c r="Q320" t="s">
        <v>538</v>
      </c>
      <c r="R320" s="2">
        <v>207.09</v>
      </c>
      <c r="S320">
        <v>4</v>
      </c>
      <c r="T320" s="3">
        <v>0.3</v>
      </c>
      <c r="U320" s="2">
        <v>-27.26</v>
      </c>
    </row>
    <row r="321" spans="1:21" x14ac:dyDescent="0.35">
      <c r="A321">
        <v>599</v>
      </c>
      <c r="B321" t="s">
        <v>1335</v>
      </c>
      <c r="C321" s="1">
        <v>45154</v>
      </c>
      <c r="D321" s="1">
        <v>45160</v>
      </c>
      <c r="E321" t="s">
        <v>34</v>
      </c>
      <c r="F321" t="s">
        <v>1336</v>
      </c>
      <c r="G321" t="s">
        <v>667</v>
      </c>
      <c r="H321" t="s">
        <v>54</v>
      </c>
      <c r="I321" t="s">
        <v>26</v>
      </c>
      <c r="J321" t="s">
        <v>48</v>
      </c>
      <c r="K321" t="s">
        <v>48</v>
      </c>
      <c r="L321">
        <v>16765</v>
      </c>
      <c r="M321" t="s">
        <v>39</v>
      </c>
      <c r="N321" t="s">
        <v>194</v>
      </c>
      <c r="O321" t="s">
        <v>30</v>
      </c>
      <c r="P321" t="s">
        <v>157</v>
      </c>
      <c r="Q321" t="s">
        <v>1337</v>
      </c>
      <c r="R321" s="2">
        <v>81.790000000000006</v>
      </c>
      <c r="S321">
        <v>5</v>
      </c>
      <c r="T321" s="3">
        <v>0</v>
      </c>
      <c r="U321" s="2">
        <v>17.02</v>
      </c>
    </row>
    <row r="322" spans="1:21" x14ac:dyDescent="0.35">
      <c r="A322">
        <v>552</v>
      </c>
      <c r="B322" t="s">
        <v>1338</v>
      </c>
      <c r="C322" s="1">
        <v>45155</v>
      </c>
      <c r="D322" s="1">
        <v>45159</v>
      </c>
      <c r="E322" t="s">
        <v>34</v>
      </c>
      <c r="F322" t="s">
        <v>1339</v>
      </c>
      <c r="G322" t="s">
        <v>511</v>
      </c>
      <c r="H322" t="s">
        <v>25</v>
      </c>
      <c r="I322" t="s">
        <v>26</v>
      </c>
      <c r="J322" t="s">
        <v>181</v>
      </c>
      <c r="K322" t="s">
        <v>181</v>
      </c>
      <c r="L322">
        <v>42599</v>
      </c>
      <c r="M322" t="s">
        <v>65</v>
      </c>
      <c r="N322" t="s">
        <v>1340</v>
      </c>
      <c r="O322" t="s">
        <v>30</v>
      </c>
      <c r="P322" t="s">
        <v>176</v>
      </c>
      <c r="Q322" t="s">
        <v>837</v>
      </c>
      <c r="R322" s="2">
        <v>160.68</v>
      </c>
      <c r="S322">
        <v>3</v>
      </c>
      <c r="T322" s="3">
        <v>0</v>
      </c>
      <c r="U322" s="2">
        <v>41.3</v>
      </c>
    </row>
    <row r="323" spans="1:21" x14ac:dyDescent="0.35">
      <c r="A323">
        <v>331</v>
      </c>
      <c r="B323" t="s">
        <v>1341</v>
      </c>
      <c r="C323" s="1">
        <v>45155</v>
      </c>
      <c r="D323" s="1">
        <v>45158</v>
      </c>
      <c r="E323" t="s">
        <v>22</v>
      </c>
      <c r="F323" t="s">
        <v>1342</v>
      </c>
      <c r="G323" t="s">
        <v>1057</v>
      </c>
      <c r="H323" t="s">
        <v>25</v>
      </c>
      <c r="I323" t="s">
        <v>26</v>
      </c>
      <c r="J323" t="s">
        <v>472</v>
      </c>
      <c r="K323" t="s">
        <v>472</v>
      </c>
      <c r="L323">
        <v>12892</v>
      </c>
      <c r="M323" t="s">
        <v>56</v>
      </c>
      <c r="N323" t="s">
        <v>1343</v>
      </c>
      <c r="O323" t="s">
        <v>41</v>
      </c>
      <c r="P323" t="s">
        <v>42</v>
      </c>
      <c r="Q323" t="s">
        <v>189</v>
      </c>
      <c r="R323" s="2">
        <v>14.95</v>
      </c>
      <c r="S323">
        <v>6</v>
      </c>
      <c r="T323" s="3">
        <v>0.3</v>
      </c>
      <c r="U323" s="2">
        <v>0.8</v>
      </c>
    </row>
    <row r="324" spans="1:21" x14ac:dyDescent="0.35">
      <c r="A324">
        <v>298</v>
      </c>
      <c r="B324" t="s">
        <v>1344</v>
      </c>
      <c r="C324" s="1">
        <v>45156</v>
      </c>
      <c r="D324" s="1">
        <v>45161</v>
      </c>
      <c r="E324" t="s">
        <v>45</v>
      </c>
      <c r="F324" t="s">
        <v>1345</v>
      </c>
      <c r="G324" t="s">
        <v>516</v>
      </c>
      <c r="H324" t="s">
        <v>54</v>
      </c>
      <c r="I324" t="s">
        <v>26</v>
      </c>
      <c r="J324" t="s">
        <v>48</v>
      </c>
      <c r="K324" t="s">
        <v>48</v>
      </c>
      <c r="L324">
        <v>23386</v>
      </c>
      <c r="M324" t="s">
        <v>39</v>
      </c>
      <c r="N324" t="s">
        <v>1346</v>
      </c>
      <c r="O324" t="s">
        <v>58</v>
      </c>
      <c r="P324" t="s">
        <v>307</v>
      </c>
      <c r="Q324" t="s">
        <v>1347</v>
      </c>
      <c r="R324" s="2">
        <v>155.38999999999999</v>
      </c>
      <c r="S324">
        <v>6</v>
      </c>
      <c r="T324" s="3">
        <v>0.2</v>
      </c>
      <c r="U324" s="2">
        <v>22.49</v>
      </c>
    </row>
    <row r="325" spans="1:21" x14ac:dyDescent="0.35">
      <c r="A325">
        <v>329</v>
      </c>
      <c r="B325" t="s">
        <v>1348</v>
      </c>
      <c r="C325" s="1">
        <v>45157</v>
      </c>
      <c r="D325" s="1">
        <v>45160</v>
      </c>
      <c r="E325" t="s">
        <v>34</v>
      </c>
      <c r="F325" t="s">
        <v>879</v>
      </c>
      <c r="G325" t="s">
        <v>1013</v>
      </c>
      <c r="H325" t="s">
        <v>25</v>
      </c>
      <c r="I325" t="s">
        <v>26</v>
      </c>
      <c r="J325" t="s">
        <v>277</v>
      </c>
      <c r="K325" t="s">
        <v>277</v>
      </c>
      <c r="L325">
        <v>84681</v>
      </c>
      <c r="M325" t="s">
        <v>56</v>
      </c>
      <c r="N325" t="s">
        <v>1349</v>
      </c>
      <c r="O325" t="s">
        <v>41</v>
      </c>
      <c r="P325" t="s">
        <v>106</v>
      </c>
      <c r="Q325" t="s">
        <v>454</v>
      </c>
      <c r="R325" s="2">
        <v>188.02</v>
      </c>
      <c r="S325">
        <v>5</v>
      </c>
      <c r="T325" s="3">
        <v>0</v>
      </c>
      <c r="U325" s="2">
        <v>57.71</v>
      </c>
    </row>
    <row r="326" spans="1:21" x14ac:dyDescent="0.35">
      <c r="A326">
        <v>130</v>
      </c>
      <c r="B326" t="s">
        <v>1350</v>
      </c>
      <c r="C326" s="1">
        <v>45157</v>
      </c>
      <c r="D326" s="1">
        <v>45160</v>
      </c>
      <c r="E326" t="s">
        <v>45</v>
      </c>
      <c r="F326" t="s">
        <v>1351</v>
      </c>
      <c r="G326" t="s">
        <v>416</v>
      </c>
      <c r="H326" t="s">
        <v>25</v>
      </c>
      <c r="I326" t="s">
        <v>26</v>
      </c>
      <c r="J326" t="s">
        <v>193</v>
      </c>
      <c r="K326" t="s">
        <v>193</v>
      </c>
      <c r="L326">
        <v>32669</v>
      </c>
      <c r="M326" t="s">
        <v>39</v>
      </c>
      <c r="N326" t="s">
        <v>1352</v>
      </c>
      <c r="O326" t="s">
        <v>30</v>
      </c>
      <c r="P326" t="s">
        <v>100</v>
      </c>
      <c r="Q326" t="s">
        <v>1353</v>
      </c>
      <c r="R326" s="2">
        <v>195.08</v>
      </c>
      <c r="S326">
        <v>7</v>
      </c>
      <c r="T326" s="3">
        <v>0.1</v>
      </c>
      <c r="U326" s="2">
        <v>28.49</v>
      </c>
    </row>
    <row r="327" spans="1:21" x14ac:dyDescent="0.35">
      <c r="A327">
        <v>279</v>
      </c>
      <c r="B327" t="s">
        <v>1354</v>
      </c>
      <c r="C327" s="1">
        <v>45159</v>
      </c>
      <c r="D327" s="1">
        <v>45162</v>
      </c>
      <c r="E327" t="s">
        <v>22</v>
      </c>
      <c r="F327" t="s">
        <v>1355</v>
      </c>
      <c r="G327" t="s">
        <v>667</v>
      </c>
      <c r="H327" t="s">
        <v>25</v>
      </c>
      <c r="I327" t="s">
        <v>26</v>
      </c>
      <c r="J327" t="s">
        <v>71</v>
      </c>
      <c r="K327" t="s">
        <v>71</v>
      </c>
      <c r="L327">
        <v>34846</v>
      </c>
      <c r="M327" t="s">
        <v>56</v>
      </c>
      <c r="N327" t="s">
        <v>814</v>
      </c>
      <c r="O327" t="s">
        <v>41</v>
      </c>
      <c r="P327" t="s">
        <v>42</v>
      </c>
      <c r="Q327" t="s">
        <v>1063</v>
      </c>
      <c r="R327" s="2">
        <v>137.18</v>
      </c>
      <c r="S327">
        <v>6</v>
      </c>
      <c r="T327" s="3">
        <v>0.2</v>
      </c>
      <c r="U327" s="2">
        <v>16.850000000000001</v>
      </c>
    </row>
    <row r="328" spans="1:21" x14ac:dyDescent="0.35">
      <c r="A328">
        <v>582</v>
      </c>
      <c r="B328" t="s">
        <v>1356</v>
      </c>
      <c r="C328" s="1">
        <v>45160</v>
      </c>
      <c r="D328" s="1">
        <v>45163</v>
      </c>
      <c r="E328" t="s">
        <v>45</v>
      </c>
      <c r="F328" t="s">
        <v>1357</v>
      </c>
      <c r="G328" t="s">
        <v>63</v>
      </c>
      <c r="H328" t="s">
        <v>37</v>
      </c>
      <c r="I328" t="s">
        <v>26</v>
      </c>
      <c r="J328" t="s">
        <v>193</v>
      </c>
      <c r="K328" t="s">
        <v>193</v>
      </c>
      <c r="L328">
        <v>94631</v>
      </c>
      <c r="M328" t="s">
        <v>39</v>
      </c>
      <c r="N328" t="s">
        <v>1358</v>
      </c>
      <c r="O328" t="s">
        <v>58</v>
      </c>
      <c r="P328" t="s">
        <v>89</v>
      </c>
      <c r="Q328" t="s">
        <v>1359</v>
      </c>
      <c r="R328" s="2">
        <v>62.05</v>
      </c>
      <c r="S328">
        <v>4</v>
      </c>
      <c r="T328" s="3">
        <v>0</v>
      </c>
      <c r="U328" s="2">
        <v>14.51</v>
      </c>
    </row>
    <row r="329" spans="1:21" x14ac:dyDescent="0.35">
      <c r="A329">
        <v>313</v>
      </c>
      <c r="B329" t="s">
        <v>1360</v>
      </c>
      <c r="C329" s="1">
        <v>45160</v>
      </c>
      <c r="D329" s="1">
        <v>45164</v>
      </c>
      <c r="E329" t="s">
        <v>45</v>
      </c>
      <c r="F329" t="s">
        <v>1361</v>
      </c>
      <c r="G329" t="s">
        <v>1362</v>
      </c>
      <c r="H329" t="s">
        <v>37</v>
      </c>
      <c r="I329" t="s">
        <v>26</v>
      </c>
      <c r="J329" t="s">
        <v>168</v>
      </c>
      <c r="K329" t="s">
        <v>168</v>
      </c>
      <c r="L329">
        <v>13174</v>
      </c>
      <c r="M329" t="s">
        <v>28</v>
      </c>
      <c r="N329" t="s">
        <v>1363</v>
      </c>
      <c r="O329" t="s">
        <v>58</v>
      </c>
      <c r="P329" t="s">
        <v>112</v>
      </c>
      <c r="Q329" t="s">
        <v>1071</v>
      </c>
      <c r="R329" s="2">
        <v>476.57</v>
      </c>
      <c r="S329">
        <v>1</v>
      </c>
      <c r="T329" s="3">
        <v>0.15</v>
      </c>
      <c r="U329" s="2">
        <v>82.99</v>
      </c>
    </row>
    <row r="330" spans="1:21" x14ac:dyDescent="0.35">
      <c r="A330">
        <v>509</v>
      </c>
      <c r="B330" t="s">
        <v>1364</v>
      </c>
      <c r="C330" s="1">
        <v>45161</v>
      </c>
      <c r="D330" s="1">
        <v>45163</v>
      </c>
      <c r="E330" t="s">
        <v>45</v>
      </c>
      <c r="F330" t="s">
        <v>1365</v>
      </c>
      <c r="G330" t="s">
        <v>1145</v>
      </c>
      <c r="H330" t="s">
        <v>37</v>
      </c>
      <c r="I330" t="s">
        <v>26</v>
      </c>
      <c r="J330" t="s">
        <v>48</v>
      </c>
      <c r="K330" t="s">
        <v>48</v>
      </c>
      <c r="L330">
        <v>56835</v>
      </c>
      <c r="M330" t="s">
        <v>39</v>
      </c>
      <c r="N330" t="s">
        <v>1366</v>
      </c>
      <c r="O330" t="s">
        <v>41</v>
      </c>
      <c r="P330" t="s">
        <v>134</v>
      </c>
      <c r="Q330" t="s">
        <v>1367</v>
      </c>
      <c r="R330" s="2">
        <v>120.93</v>
      </c>
      <c r="S330">
        <v>2</v>
      </c>
      <c r="T330" s="3">
        <v>0</v>
      </c>
      <c r="U330" s="2">
        <v>33.450000000000003</v>
      </c>
    </row>
    <row r="331" spans="1:21" x14ac:dyDescent="0.35">
      <c r="A331">
        <v>457</v>
      </c>
      <c r="B331" t="s">
        <v>1368</v>
      </c>
      <c r="C331" s="1">
        <v>45161</v>
      </c>
      <c r="D331" s="1">
        <v>45164</v>
      </c>
      <c r="E331" t="s">
        <v>34</v>
      </c>
      <c r="F331" t="s">
        <v>1369</v>
      </c>
      <c r="G331" t="s">
        <v>730</v>
      </c>
      <c r="H331" t="s">
        <v>54</v>
      </c>
      <c r="I331" t="s">
        <v>26</v>
      </c>
      <c r="J331" t="s">
        <v>472</v>
      </c>
      <c r="K331" t="s">
        <v>472</v>
      </c>
      <c r="L331">
        <v>47606</v>
      </c>
      <c r="M331" t="s">
        <v>56</v>
      </c>
      <c r="N331" t="s">
        <v>1370</v>
      </c>
      <c r="O331" t="s">
        <v>41</v>
      </c>
      <c r="P331" t="s">
        <v>170</v>
      </c>
      <c r="Q331" t="s">
        <v>313</v>
      </c>
      <c r="R331" s="2">
        <v>39.39</v>
      </c>
      <c r="S331">
        <v>5</v>
      </c>
      <c r="T331" s="3">
        <v>0.3</v>
      </c>
      <c r="U331" s="2">
        <v>0.28999999999999998</v>
      </c>
    </row>
    <row r="332" spans="1:21" x14ac:dyDescent="0.35">
      <c r="A332">
        <v>40</v>
      </c>
      <c r="B332" t="s">
        <v>1371</v>
      </c>
      <c r="C332" s="1">
        <v>45165</v>
      </c>
      <c r="D332" s="1">
        <v>45168</v>
      </c>
      <c r="E332" t="s">
        <v>34</v>
      </c>
      <c r="F332" t="s">
        <v>1372</v>
      </c>
      <c r="G332" t="s">
        <v>402</v>
      </c>
      <c r="H332" t="s">
        <v>37</v>
      </c>
      <c r="I332" t="s">
        <v>26</v>
      </c>
      <c r="J332" t="s">
        <v>71</v>
      </c>
      <c r="K332" t="s">
        <v>71</v>
      </c>
      <c r="L332">
        <v>29262</v>
      </c>
      <c r="M332" t="s">
        <v>56</v>
      </c>
      <c r="N332" t="s">
        <v>690</v>
      </c>
      <c r="O332" t="s">
        <v>30</v>
      </c>
      <c r="P332" t="s">
        <v>31</v>
      </c>
      <c r="Q332" t="s">
        <v>1373</v>
      </c>
      <c r="R332" s="2">
        <v>153.15</v>
      </c>
      <c r="S332">
        <v>2</v>
      </c>
      <c r="T332" s="3">
        <v>0.2</v>
      </c>
      <c r="U332" s="2">
        <v>-0.99</v>
      </c>
    </row>
    <row r="333" spans="1:21" x14ac:dyDescent="0.35">
      <c r="A333">
        <v>183</v>
      </c>
      <c r="B333" t="s">
        <v>1374</v>
      </c>
      <c r="C333" s="1">
        <v>45166</v>
      </c>
      <c r="D333" s="1">
        <v>45169</v>
      </c>
      <c r="E333" t="s">
        <v>34</v>
      </c>
      <c r="F333" t="s">
        <v>1375</v>
      </c>
      <c r="G333" t="s">
        <v>292</v>
      </c>
      <c r="H333" t="s">
        <v>25</v>
      </c>
      <c r="I333" t="s">
        <v>26</v>
      </c>
      <c r="J333" t="s">
        <v>204</v>
      </c>
      <c r="K333" t="s">
        <v>204</v>
      </c>
      <c r="L333">
        <v>73811</v>
      </c>
      <c r="M333" t="s">
        <v>39</v>
      </c>
      <c r="N333" t="s">
        <v>1301</v>
      </c>
      <c r="O333" t="s">
        <v>41</v>
      </c>
      <c r="P333" t="s">
        <v>42</v>
      </c>
      <c r="Q333" t="s">
        <v>1376</v>
      </c>
      <c r="R333" s="2">
        <v>80.59</v>
      </c>
      <c r="S333">
        <v>1</v>
      </c>
      <c r="T333" s="3">
        <v>0.3</v>
      </c>
      <c r="U333" s="2">
        <v>-0.14000000000000001</v>
      </c>
    </row>
    <row r="334" spans="1:21" x14ac:dyDescent="0.35">
      <c r="A334">
        <v>424</v>
      </c>
      <c r="B334" t="s">
        <v>1377</v>
      </c>
      <c r="C334" s="1">
        <v>45166</v>
      </c>
      <c r="D334" s="1">
        <v>45168</v>
      </c>
      <c r="E334" t="s">
        <v>34</v>
      </c>
      <c r="F334" t="s">
        <v>1378</v>
      </c>
      <c r="G334" t="s">
        <v>545</v>
      </c>
      <c r="H334" t="s">
        <v>37</v>
      </c>
      <c r="I334" t="s">
        <v>26</v>
      </c>
      <c r="J334" t="s">
        <v>277</v>
      </c>
      <c r="K334" t="s">
        <v>277</v>
      </c>
      <c r="L334">
        <v>92999</v>
      </c>
      <c r="M334" t="s">
        <v>56</v>
      </c>
      <c r="N334" t="s">
        <v>1379</v>
      </c>
      <c r="O334" t="s">
        <v>30</v>
      </c>
      <c r="P334" t="s">
        <v>157</v>
      </c>
      <c r="Q334" t="s">
        <v>1380</v>
      </c>
      <c r="R334" s="2">
        <v>238.24</v>
      </c>
      <c r="S334">
        <v>6</v>
      </c>
      <c r="T334" s="3">
        <v>0.2</v>
      </c>
      <c r="U334" s="2">
        <v>-16.13</v>
      </c>
    </row>
    <row r="335" spans="1:21" x14ac:dyDescent="0.35">
      <c r="A335">
        <v>253</v>
      </c>
      <c r="B335" t="s">
        <v>1381</v>
      </c>
      <c r="C335" s="1">
        <v>45169</v>
      </c>
      <c r="D335" s="1">
        <v>45171</v>
      </c>
      <c r="E335" t="s">
        <v>45</v>
      </c>
      <c r="F335" t="s">
        <v>1382</v>
      </c>
      <c r="G335" t="s">
        <v>1383</v>
      </c>
      <c r="H335" t="s">
        <v>37</v>
      </c>
      <c r="I335" t="s">
        <v>26</v>
      </c>
      <c r="J335" t="s">
        <v>127</v>
      </c>
      <c r="K335" t="s">
        <v>127</v>
      </c>
      <c r="L335">
        <v>50469</v>
      </c>
      <c r="M335" t="s">
        <v>56</v>
      </c>
      <c r="N335" t="s">
        <v>1384</v>
      </c>
      <c r="O335" t="s">
        <v>41</v>
      </c>
      <c r="P335" t="s">
        <v>134</v>
      </c>
      <c r="Q335" t="s">
        <v>1385</v>
      </c>
      <c r="R335" s="2">
        <v>47.03</v>
      </c>
      <c r="S335">
        <v>4</v>
      </c>
      <c r="T335" s="3">
        <v>0.1</v>
      </c>
      <c r="U335" s="2">
        <v>6</v>
      </c>
    </row>
    <row r="336" spans="1:21" x14ac:dyDescent="0.35">
      <c r="A336">
        <v>236</v>
      </c>
      <c r="B336" t="s">
        <v>1386</v>
      </c>
      <c r="C336" s="1">
        <v>45169</v>
      </c>
      <c r="D336" s="1">
        <v>45172</v>
      </c>
      <c r="E336" t="s">
        <v>45</v>
      </c>
      <c r="F336" t="s">
        <v>1387</v>
      </c>
      <c r="G336" t="s">
        <v>161</v>
      </c>
      <c r="H336" t="s">
        <v>37</v>
      </c>
      <c r="I336" t="s">
        <v>26</v>
      </c>
      <c r="J336" t="s">
        <v>55</v>
      </c>
      <c r="K336" t="s">
        <v>55</v>
      </c>
      <c r="L336">
        <v>41027</v>
      </c>
      <c r="M336" t="s">
        <v>56</v>
      </c>
      <c r="N336" t="s">
        <v>1388</v>
      </c>
      <c r="O336" t="s">
        <v>58</v>
      </c>
      <c r="P336" t="s">
        <v>59</v>
      </c>
      <c r="Q336" t="s">
        <v>1389</v>
      </c>
      <c r="R336" s="2">
        <v>303.02</v>
      </c>
      <c r="S336">
        <v>4</v>
      </c>
      <c r="T336" s="3">
        <v>0.2</v>
      </c>
      <c r="U336" s="2">
        <v>61.83</v>
      </c>
    </row>
    <row r="337" spans="1:21" x14ac:dyDescent="0.35">
      <c r="A337">
        <v>316</v>
      </c>
      <c r="B337" t="s">
        <v>1390</v>
      </c>
      <c r="C337" s="1">
        <v>45170</v>
      </c>
      <c r="D337" s="1">
        <v>45172</v>
      </c>
      <c r="E337" t="s">
        <v>34</v>
      </c>
      <c r="F337" t="s">
        <v>1391</v>
      </c>
      <c r="G337" t="s">
        <v>345</v>
      </c>
      <c r="H337" t="s">
        <v>25</v>
      </c>
      <c r="I337" t="s">
        <v>26</v>
      </c>
      <c r="J337" t="s">
        <v>139</v>
      </c>
      <c r="K337" t="s">
        <v>139</v>
      </c>
      <c r="L337">
        <v>78244</v>
      </c>
      <c r="M337" t="s">
        <v>65</v>
      </c>
      <c r="N337" t="s">
        <v>1392</v>
      </c>
      <c r="O337" t="s">
        <v>58</v>
      </c>
      <c r="P337" t="s">
        <v>89</v>
      </c>
      <c r="Q337" t="s">
        <v>1393</v>
      </c>
      <c r="R337" s="2">
        <v>113.96</v>
      </c>
      <c r="S337">
        <v>6</v>
      </c>
      <c r="T337" s="3">
        <v>0.05</v>
      </c>
      <c r="U337" s="2">
        <v>27.73</v>
      </c>
    </row>
    <row r="338" spans="1:21" x14ac:dyDescent="0.35">
      <c r="A338">
        <v>400</v>
      </c>
      <c r="B338" t="s">
        <v>1394</v>
      </c>
      <c r="C338" s="1">
        <v>45173</v>
      </c>
      <c r="D338" s="1">
        <v>45176</v>
      </c>
      <c r="E338" t="s">
        <v>34</v>
      </c>
      <c r="F338" t="s">
        <v>1395</v>
      </c>
      <c r="G338" t="s">
        <v>292</v>
      </c>
      <c r="H338" t="s">
        <v>25</v>
      </c>
      <c r="I338" t="s">
        <v>26</v>
      </c>
      <c r="J338" t="s">
        <v>472</v>
      </c>
      <c r="K338" t="s">
        <v>472</v>
      </c>
      <c r="L338">
        <v>86631</v>
      </c>
      <c r="M338" t="s">
        <v>56</v>
      </c>
      <c r="N338" t="s">
        <v>682</v>
      </c>
      <c r="O338" t="s">
        <v>41</v>
      </c>
      <c r="P338" t="s">
        <v>42</v>
      </c>
      <c r="Q338" t="s">
        <v>992</v>
      </c>
      <c r="R338" s="2">
        <v>49.11</v>
      </c>
      <c r="S338">
        <v>6</v>
      </c>
      <c r="T338" s="3">
        <v>0.3</v>
      </c>
      <c r="U338" s="2">
        <v>-1.01</v>
      </c>
    </row>
    <row r="339" spans="1:21" x14ac:dyDescent="0.35">
      <c r="A339">
        <v>238</v>
      </c>
      <c r="B339" t="s">
        <v>1396</v>
      </c>
      <c r="C339" s="1">
        <v>45176</v>
      </c>
      <c r="D339" s="1">
        <v>45178</v>
      </c>
      <c r="E339" t="s">
        <v>34</v>
      </c>
      <c r="F339" t="s">
        <v>1397</v>
      </c>
      <c r="G339" t="s">
        <v>520</v>
      </c>
      <c r="H339" t="s">
        <v>37</v>
      </c>
      <c r="I339" t="s">
        <v>26</v>
      </c>
      <c r="J339" t="s">
        <v>181</v>
      </c>
      <c r="K339" t="s">
        <v>181</v>
      </c>
      <c r="L339">
        <v>33383</v>
      </c>
      <c r="M339" t="s">
        <v>65</v>
      </c>
      <c r="N339" t="s">
        <v>1189</v>
      </c>
      <c r="O339" t="s">
        <v>30</v>
      </c>
      <c r="P339" t="s">
        <v>157</v>
      </c>
      <c r="Q339" t="s">
        <v>1398</v>
      </c>
      <c r="R339" s="2">
        <v>213.74</v>
      </c>
      <c r="S339">
        <v>5</v>
      </c>
      <c r="T339" s="3">
        <v>0.3</v>
      </c>
      <c r="U339" s="2">
        <v>6.2</v>
      </c>
    </row>
    <row r="340" spans="1:21" x14ac:dyDescent="0.35">
      <c r="A340">
        <v>91</v>
      </c>
      <c r="B340" t="s">
        <v>1399</v>
      </c>
      <c r="C340" s="1">
        <v>45181</v>
      </c>
      <c r="D340" s="1">
        <v>45184</v>
      </c>
      <c r="E340" t="s">
        <v>34</v>
      </c>
      <c r="F340" t="s">
        <v>1400</v>
      </c>
      <c r="G340" t="s">
        <v>630</v>
      </c>
      <c r="H340" t="s">
        <v>25</v>
      </c>
      <c r="I340" t="s">
        <v>26</v>
      </c>
      <c r="J340" t="s">
        <v>162</v>
      </c>
      <c r="K340" t="s">
        <v>162</v>
      </c>
      <c r="L340">
        <v>45057</v>
      </c>
      <c r="M340" t="s">
        <v>28</v>
      </c>
      <c r="N340" t="s">
        <v>1401</v>
      </c>
      <c r="O340" t="s">
        <v>30</v>
      </c>
      <c r="P340" t="s">
        <v>157</v>
      </c>
      <c r="Q340" t="s">
        <v>371</v>
      </c>
      <c r="R340" s="2">
        <v>251.17</v>
      </c>
      <c r="S340">
        <v>1</v>
      </c>
      <c r="T340" s="3">
        <v>0.15</v>
      </c>
      <c r="U340" s="2">
        <v>9.76</v>
      </c>
    </row>
    <row r="341" spans="1:21" x14ac:dyDescent="0.35">
      <c r="A341">
        <v>439</v>
      </c>
      <c r="B341" t="s">
        <v>1402</v>
      </c>
      <c r="C341" s="1">
        <v>45182</v>
      </c>
      <c r="D341" s="1">
        <v>45184</v>
      </c>
      <c r="E341" t="s">
        <v>34</v>
      </c>
      <c r="F341" t="s">
        <v>1403</v>
      </c>
      <c r="G341" t="s">
        <v>1046</v>
      </c>
      <c r="H341" t="s">
        <v>25</v>
      </c>
      <c r="I341" t="s">
        <v>26</v>
      </c>
      <c r="J341" t="s">
        <v>64</v>
      </c>
      <c r="K341" t="s">
        <v>64</v>
      </c>
      <c r="L341">
        <v>42222</v>
      </c>
      <c r="M341" t="s">
        <v>65</v>
      </c>
      <c r="N341" t="s">
        <v>1404</v>
      </c>
      <c r="O341" t="s">
        <v>30</v>
      </c>
      <c r="P341" t="s">
        <v>157</v>
      </c>
      <c r="Q341" t="s">
        <v>1405</v>
      </c>
      <c r="R341" s="2">
        <v>326.19</v>
      </c>
      <c r="S341">
        <v>7</v>
      </c>
      <c r="T341" s="3">
        <v>0.3</v>
      </c>
      <c r="U341" s="2">
        <v>-31.81</v>
      </c>
    </row>
    <row r="342" spans="1:21" x14ac:dyDescent="0.35">
      <c r="A342">
        <v>468</v>
      </c>
      <c r="B342" t="s">
        <v>1406</v>
      </c>
      <c r="C342" s="1">
        <v>45184</v>
      </c>
      <c r="D342" s="1">
        <v>45190</v>
      </c>
      <c r="E342" t="s">
        <v>45</v>
      </c>
      <c r="F342" t="s">
        <v>1407</v>
      </c>
      <c r="G342" t="s">
        <v>253</v>
      </c>
      <c r="H342" t="s">
        <v>25</v>
      </c>
      <c r="I342" t="s">
        <v>26</v>
      </c>
      <c r="J342" t="s">
        <v>122</v>
      </c>
      <c r="K342" t="s">
        <v>122</v>
      </c>
      <c r="L342">
        <v>22612</v>
      </c>
      <c r="M342" t="s">
        <v>65</v>
      </c>
      <c r="N342" t="s">
        <v>1408</v>
      </c>
      <c r="O342" t="s">
        <v>41</v>
      </c>
      <c r="P342" t="s">
        <v>134</v>
      </c>
      <c r="Q342" t="s">
        <v>346</v>
      </c>
      <c r="R342" s="2">
        <v>136.30000000000001</v>
      </c>
      <c r="S342">
        <v>3</v>
      </c>
      <c r="T342" s="3">
        <v>0.1</v>
      </c>
      <c r="U342" s="2">
        <v>18.11</v>
      </c>
    </row>
    <row r="343" spans="1:21" x14ac:dyDescent="0.35">
      <c r="A343">
        <v>467</v>
      </c>
      <c r="B343" t="s">
        <v>1409</v>
      </c>
      <c r="C343" s="1">
        <v>45187</v>
      </c>
      <c r="D343" s="1">
        <v>45191</v>
      </c>
      <c r="E343" t="s">
        <v>34</v>
      </c>
      <c r="F343" t="s">
        <v>1410</v>
      </c>
      <c r="G343" t="s">
        <v>1057</v>
      </c>
      <c r="H343" t="s">
        <v>25</v>
      </c>
      <c r="I343" t="s">
        <v>26</v>
      </c>
      <c r="J343" t="s">
        <v>139</v>
      </c>
      <c r="K343" t="s">
        <v>139</v>
      </c>
      <c r="L343">
        <v>83914</v>
      </c>
      <c r="M343" t="s">
        <v>65</v>
      </c>
      <c r="N343" t="s">
        <v>1411</v>
      </c>
      <c r="O343" t="s">
        <v>30</v>
      </c>
      <c r="P343" t="s">
        <v>176</v>
      </c>
      <c r="Q343" t="s">
        <v>669</v>
      </c>
      <c r="R343" s="2">
        <v>196.5</v>
      </c>
      <c r="S343">
        <v>2</v>
      </c>
      <c r="T343" s="3">
        <v>0.4</v>
      </c>
      <c r="U343" s="2">
        <v>-19.77</v>
      </c>
    </row>
    <row r="344" spans="1:21" x14ac:dyDescent="0.35">
      <c r="A344">
        <v>590</v>
      </c>
      <c r="B344" t="s">
        <v>1412</v>
      </c>
      <c r="C344" s="1">
        <v>45188</v>
      </c>
      <c r="D344" s="1">
        <v>45190</v>
      </c>
      <c r="E344" t="s">
        <v>34</v>
      </c>
      <c r="F344" t="s">
        <v>1413</v>
      </c>
      <c r="G344" t="s">
        <v>866</v>
      </c>
      <c r="H344" t="s">
        <v>54</v>
      </c>
      <c r="I344" t="s">
        <v>26</v>
      </c>
      <c r="J344" t="s">
        <v>233</v>
      </c>
      <c r="K344" t="s">
        <v>233</v>
      </c>
      <c r="L344">
        <v>14781</v>
      </c>
      <c r="M344" t="s">
        <v>65</v>
      </c>
      <c r="N344" t="s">
        <v>1414</v>
      </c>
      <c r="O344" t="s">
        <v>58</v>
      </c>
      <c r="P344" t="s">
        <v>59</v>
      </c>
      <c r="Q344" t="s">
        <v>749</v>
      </c>
      <c r="R344" s="2">
        <v>54.97</v>
      </c>
      <c r="S344">
        <v>1</v>
      </c>
      <c r="T344" s="3">
        <v>0.3</v>
      </c>
      <c r="U344" s="2">
        <v>4.45</v>
      </c>
    </row>
    <row r="345" spans="1:21" x14ac:dyDescent="0.35">
      <c r="A345">
        <v>67</v>
      </c>
      <c r="B345" t="s">
        <v>1415</v>
      </c>
      <c r="C345" s="1">
        <v>45190</v>
      </c>
      <c r="D345" s="1">
        <v>45194</v>
      </c>
      <c r="E345" t="s">
        <v>45</v>
      </c>
      <c r="F345" t="s">
        <v>1416</v>
      </c>
      <c r="G345" t="s">
        <v>1041</v>
      </c>
      <c r="H345" t="s">
        <v>25</v>
      </c>
      <c r="I345" t="s">
        <v>26</v>
      </c>
      <c r="J345" t="s">
        <v>38</v>
      </c>
      <c r="K345" t="s">
        <v>38</v>
      </c>
      <c r="L345">
        <v>67132</v>
      </c>
      <c r="M345" t="s">
        <v>39</v>
      </c>
      <c r="N345" t="s">
        <v>1417</v>
      </c>
      <c r="O345" t="s">
        <v>58</v>
      </c>
      <c r="P345" t="s">
        <v>112</v>
      </c>
      <c r="Q345" t="s">
        <v>1418</v>
      </c>
      <c r="R345" s="2">
        <v>150.72999999999999</v>
      </c>
      <c r="S345">
        <v>1</v>
      </c>
      <c r="T345" s="3">
        <v>0.2</v>
      </c>
      <c r="U345" s="2">
        <v>21.84</v>
      </c>
    </row>
    <row r="346" spans="1:21" x14ac:dyDescent="0.35">
      <c r="A346">
        <v>485</v>
      </c>
      <c r="B346" t="s">
        <v>1419</v>
      </c>
      <c r="C346" s="1">
        <v>45200</v>
      </c>
      <c r="D346" s="1">
        <v>45203</v>
      </c>
      <c r="E346" t="s">
        <v>34</v>
      </c>
      <c r="F346" t="s">
        <v>1420</v>
      </c>
      <c r="G346" t="s">
        <v>258</v>
      </c>
      <c r="H346" t="s">
        <v>25</v>
      </c>
      <c r="I346" t="s">
        <v>26</v>
      </c>
      <c r="J346" t="s">
        <v>122</v>
      </c>
      <c r="K346" t="s">
        <v>122</v>
      </c>
      <c r="L346">
        <v>28157</v>
      </c>
      <c r="M346" t="s">
        <v>65</v>
      </c>
      <c r="N346" t="s">
        <v>1404</v>
      </c>
      <c r="O346" t="s">
        <v>30</v>
      </c>
      <c r="P346" t="s">
        <v>176</v>
      </c>
      <c r="Q346" t="s">
        <v>224</v>
      </c>
      <c r="R346" s="2">
        <v>92.75</v>
      </c>
      <c r="S346">
        <v>1</v>
      </c>
      <c r="T346" s="3">
        <v>0.1</v>
      </c>
      <c r="U346" s="2">
        <v>15.07</v>
      </c>
    </row>
    <row r="347" spans="1:21" x14ac:dyDescent="0.35">
      <c r="A347">
        <v>386</v>
      </c>
      <c r="B347" t="s">
        <v>1421</v>
      </c>
      <c r="C347" s="1">
        <v>45200</v>
      </c>
      <c r="D347" s="1">
        <v>45204</v>
      </c>
      <c r="E347" t="s">
        <v>34</v>
      </c>
      <c r="F347" t="s">
        <v>1422</v>
      </c>
      <c r="G347" t="s">
        <v>1013</v>
      </c>
      <c r="H347" t="s">
        <v>37</v>
      </c>
      <c r="I347" t="s">
        <v>26</v>
      </c>
      <c r="J347" t="s">
        <v>277</v>
      </c>
      <c r="K347" t="s">
        <v>277</v>
      </c>
      <c r="L347">
        <v>15796</v>
      </c>
      <c r="M347" t="s">
        <v>56</v>
      </c>
      <c r="N347" t="s">
        <v>1423</v>
      </c>
      <c r="O347" t="s">
        <v>58</v>
      </c>
      <c r="P347" t="s">
        <v>89</v>
      </c>
      <c r="Q347" t="s">
        <v>1424</v>
      </c>
      <c r="R347" s="2">
        <v>198.23</v>
      </c>
      <c r="S347">
        <v>3</v>
      </c>
      <c r="T347" s="3">
        <v>0.05</v>
      </c>
      <c r="U347" s="2">
        <v>31.43</v>
      </c>
    </row>
    <row r="348" spans="1:21" x14ac:dyDescent="0.35">
      <c r="A348">
        <v>438</v>
      </c>
      <c r="B348" t="s">
        <v>1425</v>
      </c>
      <c r="C348" s="1">
        <v>45200</v>
      </c>
      <c r="D348" s="1">
        <v>45206</v>
      </c>
      <c r="E348" t="s">
        <v>34</v>
      </c>
      <c r="F348" t="s">
        <v>1426</v>
      </c>
      <c r="G348" t="s">
        <v>516</v>
      </c>
      <c r="H348" t="s">
        <v>25</v>
      </c>
      <c r="I348" t="s">
        <v>26</v>
      </c>
      <c r="J348" t="s">
        <v>472</v>
      </c>
      <c r="K348" t="s">
        <v>472</v>
      </c>
      <c r="L348">
        <v>20974</v>
      </c>
      <c r="M348" t="s">
        <v>56</v>
      </c>
      <c r="N348" t="s">
        <v>1427</v>
      </c>
      <c r="O348" t="s">
        <v>30</v>
      </c>
      <c r="P348" t="s">
        <v>31</v>
      </c>
      <c r="Q348" t="s">
        <v>1428</v>
      </c>
      <c r="R348" s="2">
        <v>23.5</v>
      </c>
      <c r="S348">
        <v>4</v>
      </c>
      <c r="T348" s="3">
        <v>0.3</v>
      </c>
      <c r="U348" s="2">
        <v>-1</v>
      </c>
    </row>
    <row r="349" spans="1:21" x14ac:dyDescent="0.35">
      <c r="A349">
        <v>474</v>
      </c>
      <c r="B349" t="s">
        <v>1429</v>
      </c>
      <c r="C349" s="1">
        <v>45205</v>
      </c>
      <c r="D349" s="1">
        <v>45207</v>
      </c>
      <c r="E349" t="s">
        <v>34</v>
      </c>
      <c r="F349" t="s">
        <v>1430</v>
      </c>
      <c r="G349" t="s">
        <v>345</v>
      </c>
      <c r="H349" t="s">
        <v>37</v>
      </c>
      <c r="I349" t="s">
        <v>26</v>
      </c>
      <c r="J349" t="s">
        <v>181</v>
      </c>
      <c r="K349" t="s">
        <v>181</v>
      </c>
      <c r="L349">
        <v>88287</v>
      </c>
      <c r="M349" t="s">
        <v>65</v>
      </c>
      <c r="N349" t="s">
        <v>941</v>
      </c>
      <c r="O349" t="s">
        <v>30</v>
      </c>
      <c r="P349" t="s">
        <v>100</v>
      </c>
      <c r="Q349" t="s">
        <v>1431</v>
      </c>
      <c r="R349" s="2">
        <v>187.62</v>
      </c>
      <c r="S349">
        <v>1</v>
      </c>
      <c r="T349" s="3">
        <v>0.2</v>
      </c>
      <c r="U349" s="2">
        <v>4.5599999999999996</v>
      </c>
    </row>
    <row r="350" spans="1:21" x14ac:dyDescent="0.35">
      <c r="A350">
        <v>138</v>
      </c>
      <c r="B350" t="s">
        <v>1432</v>
      </c>
      <c r="C350" s="1">
        <v>45207</v>
      </c>
      <c r="D350" s="1">
        <v>45211</v>
      </c>
      <c r="E350" t="s">
        <v>34</v>
      </c>
      <c r="F350" t="s">
        <v>1433</v>
      </c>
      <c r="G350" t="s">
        <v>192</v>
      </c>
      <c r="H350" t="s">
        <v>54</v>
      </c>
      <c r="I350" t="s">
        <v>26</v>
      </c>
      <c r="J350" t="s">
        <v>168</v>
      </c>
      <c r="K350" t="s">
        <v>168</v>
      </c>
      <c r="L350">
        <v>55096</v>
      </c>
      <c r="M350" t="s">
        <v>28</v>
      </c>
      <c r="N350" t="s">
        <v>1434</v>
      </c>
      <c r="O350" t="s">
        <v>58</v>
      </c>
      <c r="P350" t="s">
        <v>112</v>
      </c>
      <c r="Q350" t="s">
        <v>284</v>
      </c>
      <c r="R350" s="2">
        <v>276.83999999999997</v>
      </c>
      <c r="S350">
        <v>6</v>
      </c>
      <c r="T350" s="3">
        <v>0.3</v>
      </c>
      <c r="U350" s="2">
        <v>-1.38</v>
      </c>
    </row>
    <row r="351" spans="1:21" x14ac:dyDescent="0.35">
      <c r="A351">
        <v>473</v>
      </c>
      <c r="B351" t="s">
        <v>1435</v>
      </c>
      <c r="C351" s="1">
        <v>45208</v>
      </c>
      <c r="D351" s="1">
        <v>45213</v>
      </c>
      <c r="E351" t="s">
        <v>34</v>
      </c>
      <c r="F351" t="s">
        <v>1436</v>
      </c>
      <c r="G351" t="s">
        <v>520</v>
      </c>
      <c r="H351" t="s">
        <v>54</v>
      </c>
      <c r="I351" t="s">
        <v>26</v>
      </c>
      <c r="J351" t="s">
        <v>331</v>
      </c>
      <c r="K351" t="s">
        <v>331</v>
      </c>
      <c r="L351">
        <v>56874</v>
      </c>
      <c r="M351" t="s">
        <v>28</v>
      </c>
      <c r="N351" t="s">
        <v>1437</v>
      </c>
      <c r="O351" t="s">
        <v>41</v>
      </c>
      <c r="P351" t="s">
        <v>134</v>
      </c>
      <c r="Q351" t="s">
        <v>1106</v>
      </c>
      <c r="R351" s="2">
        <v>11.19</v>
      </c>
      <c r="S351">
        <v>6</v>
      </c>
      <c r="T351" s="3">
        <v>0.2</v>
      </c>
      <c r="U351" s="2">
        <v>0.77</v>
      </c>
    </row>
    <row r="352" spans="1:21" x14ac:dyDescent="0.35">
      <c r="A352">
        <v>271</v>
      </c>
      <c r="B352" t="s">
        <v>1438</v>
      </c>
      <c r="C352" s="1">
        <v>45214</v>
      </c>
      <c r="D352" s="1">
        <v>45218</v>
      </c>
      <c r="E352" t="s">
        <v>45</v>
      </c>
      <c r="F352" t="s">
        <v>1439</v>
      </c>
      <c r="G352" t="s">
        <v>562</v>
      </c>
      <c r="H352" t="s">
        <v>25</v>
      </c>
      <c r="I352" t="s">
        <v>26</v>
      </c>
      <c r="J352" t="s">
        <v>64</v>
      </c>
      <c r="K352" t="s">
        <v>64</v>
      </c>
      <c r="L352">
        <v>23331</v>
      </c>
      <c r="M352" t="s">
        <v>65</v>
      </c>
      <c r="N352" t="s">
        <v>1440</v>
      </c>
      <c r="O352" t="s">
        <v>30</v>
      </c>
      <c r="P352" t="s">
        <v>100</v>
      </c>
      <c r="Q352" t="s">
        <v>1441</v>
      </c>
      <c r="R352" s="2">
        <v>90.83</v>
      </c>
      <c r="S352">
        <v>4</v>
      </c>
      <c r="T352" s="3">
        <v>0.15</v>
      </c>
      <c r="U352" s="2">
        <v>-0.8</v>
      </c>
    </row>
    <row r="353" spans="1:21" x14ac:dyDescent="0.35">
      <c r="A353">
        <v>32</v>
      </c>
      <c r="B353" t="s">
        <v>1442</v>
      </c>
      <c r="C353" s="1">
        <v>45217</v>
      </c>
      <c r="D353" s="1">
        <v>45221</v>
      </c>
      <c r="E353" t="s">
        <v>34</v>
      </c>
      <c r="F353" t="s">
        <v>1443</v>
      </c>
      <c r="G353" t="s">
        <v>1444</v>
      </c>
      <c r="H353" t="s">
        <v>25</v>
      </c>
      <c r="I353" t="s">
        <v>26</v>
      </c>
      <c r="J353" t="s">
        <v>38</v>
      </c>
      <c r="K353" t="s">
        <v>38</v>
      </c>
      <c r="L353">
        <v>14835</v>
      </c>
      <c r="M353" t="s">
        <v>39</v>
      </c>
      <c r="N353" t="s">
        <v>440</v>
      </c>
      <c r="O353" t="s">
        <v>30</v>
      </c>
      <c r="P353" t="s">
        <v>100</v>
      </c>
      <c r="Q353" t="s">
        <v>1445</v>
      </c>
      <c r="R353" s="2">
        <v>79.33</v>
      </c>
      <c r="S353">
        <v>2</v>
      </c>
      <c r="T353" s="3">
        <v>0.05</v>
      </c>
      <c r="U353" s="2">
        <v>0.95</v>
      </c>
    </row>
    <row r="354" spans="1:21" x14ac:dyDescent="0.35">
      <c r="A354">
        <v>584</v>
      </c>
      <c r="B354" t="s">
        <v>1446</v>
      </c>
      <c r="C354" s="1">
        <v>45219</v>
      </c>
      <c r="D354" s="1">
        <v>45221</v>
      </c>
      <c r="E354" t="s">
        <v>34</v>
      </c>
      <c r="F354" t="s">
        <v>1447</v>
      </c>
      <c r="G354" t="s">
        <v>1092</v>
      </c>
      <c r="H354" t="s">
        <v>54</v>
      </c>
      <c r="I354" t="s">
        <v>26</v>
      </c>
      <c r="J354" t="s">
        <v>127</v>
      </c>
      <c r="K354" t="s">
        <v>127</v>
      </c>
      <c r="L354">
        <v>11999</v>
      </c>
      <c r="M354" t="s">
        <v>56</v>
      </c>
      <c r="N354" t="s">
        <v>1062</v>
      </c>
      <c r="O354" t="s">
        <v>41</v>
      </c>
      <c r="P354" t="s">
        <v>42</v>
      </c>
      <c r="Q354" t="s">
        <v>992</v>
      </c>
      <c r="R354" s="2">
        <v>81.58</v>
      </c>
      <c r="S354">
        <v>6</v>
      </c>
      <c r="T354" s="3">
        <v>0.1</v>
      </c>
      <c r="U354" s="2">
        <v>18.100000000000001</v>
      </c>
    </row>
    <row r="355" spans="1:21" x14ac:dyDescent="0.35">
      <c r="A355">
        <v>142</v>
      </c>
      <c r="B355" t="s">
        <v>1448</v>
      </c>
      <c r="C355" s="1">
        <v>45223</v>
      </c>
      <c r="D355" s="1">
        <v>45228</v>
      </c>
      <c r="E355" t="s">
        <v>45</v>
      </c>
      <c r="F355" t="s">
        <v>1449</v>
      </c>
      <c r="G355" t="s">
        <v>477</v>
      </c>
      <c r="H355" t="s">
        <v>37</v>
      </c>
      <c r="I355" t="s">
        <v>26</v>
      </c>
      <c r="J355" t="s">
        <v>38</v>
      </c>
      <c r="K355" t="s">
        <v>38</v>
      </c>
      <c r="L355">
        <v>62142</v>
      </c>
      <c r="M355" t="s">
        <v>39</v>
      </c>
      <c r="N355" t="s">
        <v>1450</v>
      </c>
      <c r="O355" t="s">
        <v>58</v>
      </c>
      <c r="P355" t="s">
        <v>307</v>
      </c>
      <c r="Q355" t="s">
        <v>361</v>
      </c>
      <c r="R355" s="2">
        <v>204.17</v>
      </c>
      <c r="S355">
        <v>6</v>
      </c>
      <c r="T355" s="3">
        <v>0.2</v>
      </c>
      <c r="U355" s="2">
        <v>29.6</v>
      </c>
    </row>
    <row r="356" spans="1:21" x14ac:dyDescent="0.35">
      <c r="A356">
        <v>558</v>
      </c>
      <c r="B356" t="s">
        <v>1451</v>
      </c>
      <c r="C356" s="1">
        <v>45229</v>
      </c>
      <c r="D356" s="1">
        <v>45232</v>
      </c>
      <c r="E356" t="s">
        <v>22</v>
      </c>
      <c r="F356" t="s">
        <v>1452</v>
      </c>
      <c r="G356" t="s">
        <v>192</v>
      </c>
      <c r="H356" t="s">
        <v>54</v>
      </c>
      <c r="I356" t="s">
        <v>26</v>
      </c>
      <c r="J356" t="s">
        <v>48</v>
      </c>
      <c r="K356" t="s">
        <v>48</v>
      </c>
      <c r="L356">
        <v>77936</v>
      </c>
      <c r="M356" t="s">
        <v>39</v>
      </c>
      <c r="N356" t="s">
        <v>1453</v>
      </c>
      <c r="O356" t="s">
        <v>30</v>
      </c>
      <c r="P356" t="s">
        <v>31</v>
      </c>
      <c r="Q356" t="s">
        <v>294</v>
      </c>
      <c r="R356" s="2">
        <v>283.68</v>
      </c>
      <c r="S356">
        <v>6</v>
      </c>
      <c r="T356" s="3">
        <v>0.1</v>
      </c>
      <c r="U356" s="2">
        <v>-2.74</v>
      </c>
    </row>
    <row r="357" spans="1:21" x14ac:dyDescent="0.35">
      <c r="A357">
        <v>137</v>
      </c>
      <c r="B357" t="s">
        <v>1454</v>
      </c>
      <c r="C357" s="1">
        <v>45231</v>
      </c>
      <c r="D357" s="1">
        <v>45235</v>
      </c>
      <c r="E357" t="s">
        <v>34</v>
      </c>
      <c r="F357" t="s">
        <v>1455</v>
      </c>
      <c r="G357" t="s">
        <v>788</v>
      </c>
      <c r="H357" t="s">
        <v>25</v>
      </c>
      <c r="I357" t="s">
        <v>26</v>
      </c>
      <c r="J357" t="s">
        <v>82</v>
      </c>
      <c r="K357" t="s">
        <v>82</v>
      </c>
      <c r="L357">
        <v>19587</v>
      </c>
      <c r="M357" t="s">
        <v>28</v>
      </c>
      <c r="N357" t="s">
        <v>1456</v>
      </c>
      <c r="O357" t="s">
        <v>58</v>
      </c>
      <c r="P357" t="s">
        <v>112</v>
      </c>
      <c r="Q357" t="s">
        <v>556</v>
      </c>
      <c r="R357" s="2">
        <v>465.73</v>
      </c>
      <c r="S357">
        <v>3</v>
      </c>
      <c r="T357" s="3">
        <v>0.15</v>
      </c>
      <c r="U357" s="2">
        <v>83.17</v>
      </c>
    </row>
    <row r="358" spans="1:21" x14ac:dyDescent="0.35">
      <c r="A358">
        <v>105</v>
      </c>
      <c r="B358" t="s">
        <v>1457</v>
      </c>
      <c r="C358" s="1">
        <v>45231</v>
      </c>
      <c r="D358" s="1">
        <v>45234</v>
      </c>
      <c r="E358" t="s">
        <v>45</v>
      </c>
      <c r="F358" t="s">
        <v>1458</v>
      </c>
      <c r="G358" t="s">
        <v>276</v>
      </c>
      <c r="H358" t="s">
        <v>37</v>
      </c>
      <c r="I358" t="s">
        <v>26</v>
      </c>
      <c r="J358" t="s">
        <v>168</v>
      </c>
      <c r="K358" t="s">
        <v>168</v>
      </c>
      <c r="L358">
        <v>86559</v>
      </c>
      <c r="M358" t="s">
        <v>28</v>
      </c>
      <c r="N358" t="s">
        <v>1459</v>
      </c>
      <c r="O358" t="s">
        <v>30</v>
      </c>
      <c r="P358" t="s">
        <v>100</v>
      </c>
      <c r="Q358" t="s">
        <v>1460</v>
      </c>
      <c r="R358" s="2">
        <v>80.8</v>
      </c>
      <c r="S358">
        <v>4</v>
      </c>
      <c r="T358" s="3">
        <v>0.2</v>
      </c>
      <c r="U358" s="2">
        <v>3.27</v>
      </c>
    </row>
    <row r="359" spans="1:21" x14ac:dyDescent="0.35">
      <c r="A359">
        <v>266</v>
      </c>
      <c r="B359" t="s">
        <v>1461</v>
      </c>
      <c r="C359" s="1">
        <v>45235</v>
      </c>
      <c r="D359" s="1">
        <v>45240</v>
      </c>
      <c r="E359" t="s">
        <v>34</v>
      </c>
      <c r="F359" t="s">
        <v>1462</v>
      </c>
      <c r="G359" t="s">
        <v>765</v>
      </c>
      <c r="H359" t="s">
        <v>37</v>
      </c>
      <c r="I359" t="s">
        <v>26</v>
      </c>
      <c r="J359" t="s">
        <v>168</v>
      </c>
      <c r="K359" t="s">
        <v>168</v>
      </c>
      <c r="L359">
        <v>63370</v>
      </c>
      <c r="M359" t="s">
        <v>28</v>
      </c>
      <c r="N359" t="s">
        <v>1463</v>
      </c>
      <c r="O359" t="s">
        <v>30</v>
      </c>
      <c r="P359" t="s">
        <v>157</v>
      </c>
      <c r="Q359" t="s">
        <v>371</v>
      </c>
      <c r="R359" s="2">
        <v>500.23</v>
      </c>
      <c r="S359">
        <v>1</v>
      </c>
      <c r="T359" s="3">
        <v>0.1</v>
      </c>
      <c r="U359" s="2">
        <v>48.43</v>
      </c>
    </row>
    <row r="360" spans="1:21" x14ac:dyDescent="0.35">
      <c r="A360">
        <v>512</v>
      </c>
      <c r="B360" t="s">
        <v>1464</v>
      </c>
      <c r="C360" s="1">
        <v>45237</v>
      </c>
      <c r="D360" s="1">
        <v>45239</v>
      </c>
      <c r="E360" t="s">
        <v>34</v>
      </c>
      <c r="F360" t="s">
        <v>1465</v>
      </c>
      <c r="G360" t="s">
        <v>550</v>
      </c>
      <c r="H360" t="s">
        <v>54</v>
      </c>
      <c r="I360" t="s">
        <v>26</v>
      </c>
      <c r="J360" t="s">
        <v>71</v>
      </c>
      <c r="K360" t="s">
        <v>71</v>
      </c>
      <c r="L360">
        <v>30534</v>
      </c>
      <c r="M360" t="s">
        <v>56</v>
      </c>
      <c r="N360" t="s">
        <v>1466</v>
      </c>
      <c r="O360" t="s">
        <v>41</v>
      </c>
      <c r="P360" t="s">
        <v>151</v>
      </c>
      <c r="Q360" t="s">
        <v>1129</v>
      </c>
      <c r="R360" s="2">
        <v>108.98</v>
      </c>
      <c r="S360">
        <v>4</v>
      </c>
      <c r="T360" s="3">
        <v>0.5</v>
      </c>
      <c r="U360" s="2">
        <v>-19.059999999999999</v>
      </c>
    </row>
    <row r="361" spans="1:21" x14ac:dyDescent="0.35">
      <c r="A361">
        <v>534</v>
      </c>
      <c r="B361" t="s">
        <v>1467</v>
      </c>
      <c r="C361" s="1">
        <v>45237</v>
      </c>
      <c r="D361" s="1">
        <v>45238</v>
      </c>
      <c r="E361" t="s">
        <v>45</v>
      </c>
      <c r="F361" t="s">
        <v>1468</v>
      </c>
      <c r="G361" t="s">
        <v>730</v>
      </c>
      <c r="H361" t="s">
        <v>54</v>
      </c>
      <c r="I361" t="s">
        <v>26</v>
      </c>
      <c r="J361" t="s">
        <v>181</v>
      </c>
      <c r="K361" t="s">
        <v>181</v>
      </c>
      <c r="L361">
        <v>98306</v>
      </c>
      <c r="M361" t="s">
        <v>65</v>
      </c>
      <c r="N361" t="s">
        <v>1469</v>
      </c>
      <c r="O361" t="s">
        <v>41</v>
      </c>
      <c r="P361" t="s">
        <v>73</v>
      </c>
      <c r="Q361" t="s">
        <v>1470</v>
      </c>
      <c r="R361" s="2">
        <v>205.36</v>
      </c>
      <c r="S361">
        <v>5</v>
      </c>
      <c r="T361" s="3">
        <v>0</v>
      </c>
      <c r="U361" s="2">
        <v>23.64</v>
      </c>
    </row>
    <row r="362" spans="1:21" x14ac:dyDescent="0.35">
      <c r="A362">
        <v>247</v>
      </c>
      <c r="B362" t="s">
        <v>1471</v>
      </c>
      <c r="C362" s="1">
        <v>45239</v>
      </c>
      <c r="D362" s="1">
        <v>45244</v>
      </c>
      <c r="E362" t="s">
        <v>34</v>
      </c>
      <c r="F362" t="s">
        <v>1472</v>
      </c>
      <c r="G362" t="s">
        <v>1207</v>
      </c>
      <c r="H362" t="s">
        <v>25</v>
      </c>
      <c r="I362" t="s">
        <v>26</v>
      </c>
      <c r="J362" t="s">
        <v>331</v>
      </c>
      <c r="K362" t="s">
        <v>331</v>
      </c>
      <c r="L362">
        <v>75333</v>
      </c>
      <c r="M362" t="s">
        <v>28</v>
      </c>
      <c r="N362" t="s">
        <v>1473</v>
      </c>
      <c r="O362" t="s">
        <v>41</v>
      </c>
      <c r="P362" t="s">
        <v>170</v>
      </c>
      <c r="Q362" t="s">
        <v>1474</v>
      </c>
      <c r="R362" s="2">
        <v>18.559999999999999</v>
      </c>
      <c r="S362">
        <v>6</v>
      </c>
      <c r="T362" s="3">
        <v>0.4</v>
      </c>
      <c r="U362" s="2">
        <v>-2.66</v>
      </c>
    </row>
    <row r="363" spans="1:21" x14ac:dyDescent="0.35">
      <c r="A363">
        <v>465</v>
      </c>
      <c r="B363" t="s">
        <v>1475</v>
      </c>
      <c r="C363" s="1">
        <v>45242</v>
      </c>
      <c r="D363" s="1">
        <v>45245</v>
      </c>
      <c r="E363" t="s">
        <v>22</v>
      </c>
      <c r="F363" t="s">
        <v>1476</v>
      </c>
      <c r="G363" t="s">
        <v>444</v>
      </c>
      <c r="H363" t="s">
        <v>54</v>
      </c>
      <c r="I363" t="s">
        <v>26</v>
      </c>
      <c r="J363" t="s">
        <v>48</v>
      </c>
      <c r="K363" t="s">
        <v>48</v>
      </c>
      <c r="L363">
        <v>52029</v>
      </c>
      <c r="M363" t="s">
        <v>39</v>
      </c>
      <c r="N363" t="s">
        <v>1477</v>
      </c>
      <c r="O363" t="s">
        <v>30</v>
      </c>
      <c r="P363" t="s">
        <v>31</v>
      </c>
      <c r="Q363" t="s">
        <v>529</v>
      </c>
      <c r="R363" s="2">
        <v>145.21</v>
      </c>
      <c r="S363">
        <v>2</v>
      </c>
      <c r="T363" s="3">
        <v>0.4</v>
      </c>
      <c r="U363" s="2">
        <v>-19.72</v>
      </c>
    </row>
    <row r="364" spans="1:21" x14ac:dyDescent="0.35">
      <c r="A364">
        <v>256</v>
      </c>
      <c r="B364" t="s">
        <v>1478</v>
      </c>
      <c r="C364" s="1">
        <v>45246</v>
      </c>
      <c r="D364" s="1">
        <v>45249</v>
      </c>
      <c r="E364" t="s">
        <v>34</v>
      </c>
      <c r="F364" t="s">
        <v>1479</v>
      </c>
      <c r="G364" t="s">
        <v>888</v>
      </c>
      <c r="H364" t="s">
        <v>25</v>
      </c>
      <c r="I364" t="s">
        <v>26</v>
      </c>
      <c r="J364" t="s">
        <v>181</v>
      </c>
      <c r="K364" t="s">
        <v>181</v>
      </c>
      <c r="L364">
        <v>26459</v>
      </c>
      <c r="M364" t="s">
        <v>65</v>
      </c>
      <c r="N364" t="s">
        <v>1480</v>
      </c>
      <c r="O364" t="s">
        <v>30</v>
      </c>
      <c r="P364" t="s">
        <v>100</v>
      </c>
      <c r="Q364" t="s">
        <v>1481</v>
      </c>
      <c r="R364" s="2">
        <v>66.77</v>
      </c>
      <c r="S364">
        <v>3</v>
      </c>
      <c r="T364" s="3">
        <v>0.15</v>
      </c>
      <c r="U364" s="2">
        <v>2.76</v>
      </c>
    </row>
    <row r="365" spans="1:21" x14ac:dyDescent="0.35">
      <c r="A365">
        <v>86</v>
      </c>
      <c r="B365" t="s">
        <v>1482</v>
      </c>
      <c r="C365" s="1">
        <v>45246</v>
      </c>
      <c r="D365" s="1">
        <v>45248</v>
      </c>
      <c r="E365" t="s">
        <v>34</v>
      </c>
      <c r="F365" t="s">
        <v>1483</v>
      </c>
      <c r="G365" t="s">
        <v>500</v>
      </c>
      <c r="H365" t="s">
        <v>25</v>
      </c>
      <c r="I365" t="s">
        <v>26</v>
      </c>
      <c r="J365" t="s">
        <v>204</v>
      </c>
      <c r="K365" t="s">
        <v>204</v>
      </c>
      <c r="L365">
        <v>40027</v>
      </c>
      <c r="M365" t="s">
        <v>39</v>
      </c>
      <c r="N365" t="s">
        <v>1189</v>
      </c>
      <c r="O365" t="s">
        <v>41</v>
      </c>
      <c r="P365" t="s">
        <v>134</v>
      </c>
      <c r="Q365" t="s">
        <v>1484</v>
      </c>
      <c r="R365" s="2">
        <v>64.92</v>
      </c>
      <c r="S365">
        <v>3</v>
      </c>
      <c r="T365" s="3">
        <v>0.05</v>
      </c>
      <c r="U365" s="2">
        <v>11.22</v>
      </c>
    </row>
    <row r="366" spans="1:21" x14ac:dyDescent="0.35">
      <c r="A366">
        <v>119</v>
      </c>
      <c r="B366" t="s">
        <v>1485</v>
      </c>
      <c r="C366" s="1">
        <v>45247</v>
      </c>
      <c r="D366" s="1">
        <v>45248</v>
      </c>
      <c r="E366" t="s">
        <v>22</v>
      </c>
      <c r="F366" t="s">
        <v>1486</v>
      </c>
      <c r="G366" t="s">
        <v>53</v>
      </c>
      <c r="H366" t="s">
        <v>25</v>
      </c>
      <c r="I366" t="s">
        <v>26</v>
      </c>
      <c r="J366" t="s">
        <v>233</v>
      </c>
      <c r="K366" t="s">
        <v>233</v>
      </c>
      <c r="L366">
        <v>65533</v>
      </c>
      <c r="M366" t="s">
        <v>65</v>
      </c>
      <c r="N366" t="s">
        <v>1487</v>
      </c>
      <c r="O366" t="s">
        <v>30</v>
      </c>
      <c r="P366" t="s">
        <v>100</v>
      </c>
      <c r="Q366" t="s">
        <v>790</v>
      </c>
      <c r="R366" s="2">
        <v>133.18</v>
      </c>
      <c r="S366">
        <v>5</v>
      </c>
      <c r="T366" s="3">
        <v>0.5</v>
      </c>
      <c r="U366" s="2">
        <v>-23.61</v>
      </c>
    </row>
    <row r="367" spans="1:21" x14ac:dyDescent="0.35">
      <c r="A367">
        <v>570</v>
      </c>
      <c r="B367" t="s">
        <v>1488</v>
      </c>
      <c r="C367" s="1">
        <v>45248</v>
      </c>
      <c r="D367" s="1">
        <v>45250</v>
      </c>
      <c r="E367" t="s">
        <v>45</v>
      </c>
      <c r="F367" t="s">
        <v>1489</v>
      </c>
      <c r="G367" t="s">
        <v>550</v>
      </c>
      <c r="H367" t="s">
        <v>25</v>
      </c>
      <c r="I367" t="s">
        <v>26</v>
      </c>
      <c r="J367" t="s">
        <v>187</v>
      </c>
      <c r="K367" t="s">
        <v>187</v>
      </c>
      <c r="L367">
        <v>28361</v>
      </c>
      <c r="M367" t="s">
        <v>39</v>
      </c>
      <c r="N367" t="s">
        <v>1490</v>
      </c>
      <c r="O367" t="s">
        <v>58</v>
      </c>
      <c r="P367" t="s">
        <v>307</v>
      </c>
      <c r="Q367" t="s">
        <v>915</v>
      </c>
      <c r="R367" s="2">
        <v>59.93</v>
      </c>
      <c r="S367">
        <v>5</v>
      </c>
      <c r="T367" s="3">
        <v>0.15</v>
      </c>
      <c r="U367" s="2">
        <v>8.48</v>
      </c>
    </row>
    <row r="368" spans="1:21" x14ac:dyDescent="0.35">
      <c r="A368">
        <v>219</v>
      </c>
      <c r="B368" t="s">
        <v>1491</v>
      </c>
      <c r="C368" s="1">
        <v>45251</v>
      </c>
      <c r="D368" s="1">
        <v>45255</v>
      </c>
      <c r="E368" t="s">
        <v>45</v>
      </c>
      <c r="F368" t="s">
        <v>1492</v>
      </c>
      <c r="G368" t="s">
        <v>1493</v>
      </c>
      <c r="H368" t="s">
        <v>25</v>
      </c>
      <c r="I368" t="s">
        <v>26</v>
      </c>
      <c r="J368" t="s">
        <v>122</v>
      </c>
      <c r="K368" t="s">
        <v>122</v>
      </c>
      <c r="L368">
        <v>85403</v>
      </c>
      <c r="M368" t="s">
        <v>65</v>
      </c>
      <c r="N368" t="s">
        <v>1494</v>
      </c>
      <c r="O368" t="s">
        <v>58</v>
      </c>
      <c r="P368" t="s">
        <v>307</v>
      </c>
      <c r="Q368" t="s">
        <v>1347</v>
      </c>
      <c r="R368" s="2">
        <v>49.12</v>
      </c>
      <c r="S368">
        <v>2</v>
      </c>
      <c r="T368" s="3">
        <v>0.2</v>
      </c>
      <c r="U368" s="2">
        <v>8.43</v>
      </c>
    </row>
    <row r="369" spans="1:21" x14ac:dyDescent="0.35">
      <c r="A369">
        <v>72</v>
      </c>
      <c r="B369" t="s">
        <v>1495</v>
      </c>
      <c r="C369" s="1">
        <v>45251</v>
      </c>
      <c r="D369" s="1">
        <v>45254</v>
      </c>
      <c r="E369" t="s">
        <v>45</v>
      </c>
      <c r="F369" t="s">
        <v>1496</v>
      </c>
      <c r="G369" t="s">
        <v>1125</v>
      </c>
      <c r="H369" t="s">
        <v>25</v>
      </c>
      <c r="I369" t="s">
        <v>26</v>
      </c>
      <c r="J369" t="s">
        <v>122</v>
      </c>
      <c r="K369" t="s">
        <v>122</v>
      </c>
      <c r="L369">
        <v>75160</v>
      </c>
      <c r="M369" t="s">
        <v>65</v>
      </c>
      <c r="N369" t="s">
        <v>1497</v>
      </c>
      <c r="O369" t="s">
        <v>30</v>
      </c>
      <c r="P369" t="s">
        <v>100</v>
      </c>
      <c r="Q369" t="s">
        <v>279</v>
      </c>
      <c r="R369" s="2">
        <v>610.07000000000005</v>
      </c>
      <c r="S369">
        <v>2</v>
      </c>
      <c r="T369" s="3">
        <v>0.15</v>
      </c>
      <c r="U369" s="2">
        <v>69.98</v>
      </c>
    </row>
    <row r="370" spans="1:21" x14ac:dyDescent="0.35">
      <c r="A370">
        <v>200</v>
      </c>
      <c r="B370" t="s">
        <v>1498</v>
      </c>
      <c r="C370" s="1">
        <v>45251</v>
      </c>
      <c r="D370" s="1">
        <v>45253</v>
      </c>
      <c r="E370" t="s">
        <v>34</v>
      </c>
      <c r="F370" t="s">
        <v>1499</v>
      </c>
      <c r="G370" t="s">
        <v>844</v>
      </c>
      <c r="H370" t="s">
        <v>25</v>
      </c>
      <c r="I370" t="s">
        <v>26</v>
      </c>
      <c r="J370" t="s">
        <v>187</v>
      </c>
      <c r="K370" t="s">
        <v>187</v>
      </c>
      <c r="L370">
        <v>85945</v>
      </c>
      <c r="M370" t="s">
        <v>39</v>
      </c>
      <c r="N370" t="s">
        <v>1006</v>
      </c>
      <c r="O370" t="s">
        <v>30</v>
      </c>
      <c r="P370" t="s">
        <v>31</v>
      </c>
      <c r="Q370" t="s">
        <v>431</v>
      </c>
      <c r="R370" s="2">
        <v>245.62</v>
      </c>
      <c r="S370">
        <v>3</v>
      </c>
      <c r="T370" s="3">
        <v>0</v>
      </c>
      <c r="U370" s="2">
        <v>54.95</v>
      </c>
    </row>
    <row r="371" spans="1:21" x14ac:dyDescent="0.35">
      <c r="A371">
        <v>308</v>
      </c>
      <c r="B371" t="s">
        <v>1500</v>
      </c>
      <c r="C371" s="1">
        <v>45252</v>
      </c>
      <c r="D371" s="1">
        <v>45253</v>
      </c>
      <c r="E371" t="s">
        <v>290</v>
      </c>
      <c r="F371" t="s">
        <v>1501</v>
      </c>
      <c r="G371" t="s">
        <v>149</v>
      </c>
      <c r="H371" t="s">
        <v>54</v>
      </c>
      <c r="I371" t="s">
        <v>26</v>
      </c>
      <c r="J371" t="s">
        <v>331</v>
      </c>
      <c r="K371" t="s">
        <v>331</v>
      </c>
      <c r="L371">
        <v>38060</v>
      </c>
      <c r="M371" t="s">
        <v>28</v>
      </c>
      <c r="N371" t="s">
        <v>1502</v>
      </c>
      <c r="O371" t="s">
        <v>58</v>
      </c>
      <c r="P371" t="s">
        <v>112</v>
      </c>
      <c r="Q371" t="s">
        <v>1503</v>
      </c>
      <c r="R371" s="2">
        <v>259.8</v>
      </c>
      <c r="S371">
        <v>3</v>
      </c>
      <c r="T371" s="3">
        <v>0.1</v>
      </c>
      <c r="U371" s="2">
        <v>33.86</v>
      </c>
    </row>
    <row r="372" spans="1:21" x14ac:dyDescent="0.35">
      <c r="A372">
        <v>144</v>
      </c>
      <c r="B372" t="s">
        <v>1504</v>
      </c>
      <c r="C372" s="1">
        <v>45256</v>
      </c>
      <c r="D372" s="1">
        <v>45259</v>
      </c>
      <c r="E372" t="s">
        <v>34</v>
      </c>
      <c r="F372" t="s">
        <v>1505</v>
      </c>
      <c r="G372" t="s">
        <v>104</v>
      </c>
      <c r="H372" t="s">
        <v>25</v>
      </c>
      <c r="I372" t="s">
        <v>26</v>
      </c>
      <c r="J372" t="s">
        <v>71</v>
      </c>
      <c r="K372" t="s">
        <v>71</v>
      </c>
      <c r="L372">
        <v>56403</v>
      </c>
      <c r="M372" t="s">
        <v>56</v>
      </c>
      <c r="N372" t="s">
        <v>1506</v>
      </c>
      <c r="O372" t="s">
        <v>58</v>
      </c>
      <c r="P372" t="s">
        <v>112</v>
      </c>
      <c r="Q372" t="s">
        <v>1507</v>
      </c>
      <c r="R372" s="2">
        <v>102.93</v>
      </c>
      <c r="S372">
        <v>5</v>
      </c>
      <c r="T372" s="3">
        <v>0</v>
      </c>
      <c r="U372" s="2">
        <v>30.95</v>
      </c>
    </row>
    <row r="373" spans="1:21" x14ac:dyDescent="0.35">
      <c r="A373">
        <v>545</v>
      </c>
      <c r="B373" t="s">
        <v>1508</v>
      </c>
      <c r="C373" s="1">
        <v>45260</v>
      </c>
      <c r="D373" s="1">
        <v>45266</v>
      </c>
      <c r="E373" t="s">
        <v>290</v>
      </c>
      <c r="F373" t="s">
        <v>1509</v>
      </c>
      <c r="G373" t="s">
        <v>1510</v>
      </c>
      <c r="H373" t="s">
        <v>37</v>
      </c>
      <c r="I373" t="s">
        <v>26</v>
      </c>
      <c r="J373" t="s">
        <v>139</v>
      </c>
      <c r="K373" t="s">
        <v>139</v>
      </c>
      <c r="L373">
        <v>42844</v>
      </c>
      <c r="M373" t="s">
        <v>65</v>
      </c>
      <c r="N373" t="s">
        <v>1258</v>
      </c>
      <c r="O373" t="s">
        <v>41</v>
      </c>
      <c r="P373" t="s">
        <v>134</v>
      </c>
      <c r="Q373" t="s">
        <v>1511</v>
      </c>
      <c r="R373" s="2">
        <v>119.19</v>
      </c>
      <c r="S373">
        <v>2</v>
      </c>
      <c r="T373" s="3">
        <v>0.2</v>
      </c>
      <c r="U373" s="2">
        <v>17.63</v>
      </c>
    </row>
    <row r="374" spans="1:21" x14ac:dyDescent="0.35">
      <c r="A374">
        <v>390</v>
      </c>
      <c r="B374" t="s">
        <v>1512</v>
      </c>
      <c r="C374" s="1">
        <v>45261</v>
      </c>
      <c r="D374" s="1">
        <v>45264</v>
      </c>
      <c r="E374" t="s">
        <v>34</v>
      </c>
      <c r="F374" t="s">
        <v>1513</v>
      </c>
      <c r="G374" t="s">
        <v>998</v>
      </c>
      <c r="H374" t="s">
        <v>37</v>
      </c>
      <c r="I374" t="s">
        <v>26</v>
      </c>
      <c r="J374" t="s">
        <v>55</v>
      </c>
      <c r="K374" t="s">
        <v>55</v>
      </c>
      <c r="L374">
        <v>19215</v>
      </c>
      <c r="M374" t="s">
        <v>56</v>
      </c>
      <c r="N374" t="s">
        <v>374</v>
      </c>
      <c r="O374" t="s">
        <v>41</v>
      </c>
      <c r="P374" t="s">
        <v>170</v>
      </c>
      <c r="Q374" t="s">
        <v>587</v>
      </c>
      <c r="R374" s="2">
        <v>66.98</v>
      </c>
      <c r="S374">
        <v>2</v>
      </c>
      <c r="T374" s="3">
        <v>0</v>
      </c>
      <c r="U374" s="2">
        <v>16.53</v>
      </c>
    </row>
    <row r="375" spans="1:21" x14ac:dyDescent="0.35">
      <c r="A375">
        <v>379</v>
      </c>
      <c r="B375" t="s">
        <v>1514</v>
      </c>
      <c r="C375" s="1">
        <v>45263</v>
      </c>
      <c r="D375" s="1">
        <v>45266</v>
      </c>
      <c r="E375" t="s">
        <v>34</v>
      </c>
      <c r="F375" t="s">
        <v>1515</v>
      </c>
      <c r="G375" t="s">
        <v>1516</v>
      </c>
      <c r="H375" t="s">
        <v>37</v>
      </c>
      <c r="I375" t="s">
        <v>26</v>
      </c>
      <c r="J375" t="s">
        <v>277</v>
      </c>
      <c r="K375" t="s">
        <v>277</v>
      </c>
      <c r="L375">
        <v>49643</v>
      </c>
      <c r="M375" t="s">
        <v>56</v>
      </c>
      <c r="N375" t="s">
        <v>1517</v>
      </c>
      <c r="O375" t="s">
        <v>30</v>
      </c>
      <c r="P375" t="s">
        <v>176</v>
      </c>
      <c r="Q375" t="s">
        <v>858</v>
      </c>
      <c r="R375" s="2">
        <v>203.84</v>
      </c>
      <c r="S375">
        <v>7</v>
      </c>
      <c r="T375" s="3">
        <v>0.5</v>
      </c>
      <c r="U375" s="2">
        <v>-51.36</v>
      </c>
    </row>
    <row r="376" spans="1:21" x14ac:dyDescent="0.35">
      <c r="A376">
        <v>451</v>
      </c>
      <c r="B376" t="s">
        <v>1518</v>
      </c>
      <c r="C376" s="1">
        <v>45266</v>
      </c>
      <c r="D376" s="1">
        <v>45268</v>
      </c>
      <c r="E376" t="s">
        <v>45</v>
      </c>
      <c r="F376" t="s">
        <v>52</v>
      </c>
      <c r="G376" t="s">
        <v>1516</v>
      </c>
      <c r="H376" t="s">
        <v>37</v>
      </c>
      <c r="I376" t="s">
        <v>26</v>
      </c>
      <c r="J376" t="s">
        <v>127</v>
      </c>
      <c r="K376" t="s">
        <v>127</v>
      </c>
      <c r="L376">
        <v>70998</v>
      </c>
      <c r="M376" t="s">
        <v>56</v>
      </c>
      <c r="N376" t="s">
        <v>1519</v>
      </c>
      <c r="O376" t="s">
        <v>30</v>
      </c>
      <c r="P376" t="s">
        <v>100</v>
      </c>
      <c r="Q376" t="s">
        <v>279</v>
      </c>
      <c r="R376" s="2">
        <v>274.94</v>
      </c>
      <c r="S376">
        <v>1</v>
      </c>
      <c r="T376" s="3">
        <v>0.05</v>
      </c>
      <c r="U376" s="2">
        <v>44.76</v>
      </c>
    </row>
    <row r="377" spans="1:21" x14ac:dyDescent="0.35">
      <c r="A377">
        <v>557</v>
      </c>
      <c r="B377" t="s">
        <v>1520</v>
      </c>
      <c r="C377" s="1">
        <v>45267</v>
      </c>
      <c r="D377" s="1">
        <v>45270</v>
      </c>
      <c r="E377" t="s">
        <v>34</v>
      </c>
      <c r="F377" t="s">
        <v>1521</v>
      </c>
      <c r="G377" t="s">
        <v>652</v>
      </c>
      <c r="H377" t="s">
        <v>25</v>
      </c>
      <c r="I377" t="s">
        <v>26</v>
      </c>
      <c r="J377" t="s">
        <v>71</v>
      </c>
      <c r="K377" t="s">
        <v>71</v>
      </c>
      <c r="L377">
        <v>97618</v>
      </c>
      <c r="M377" t="s">
        <v>56</v>
      </c>
      <c r="N377" t="s">
        <v>845</v>
      </c>
      <c r="O377" t="s">
        <v>30</v>
      </c>
      <c r="P377" t="s">
        <v>31</v>
      </c>
      <c r="Q377" t="s">
        <v>981</v>
      </c>
      <c r="R377" s="2">
        <v>141.13</v>
      </c>
      <c r="S377">
        <v>2</v>
      </c>
      <c r="T377" s="3">
        <v>0</v>
      </c>
      <c r="U377" s="2">
        <v>24.89</v>
      </c>
    </row>
    <row r="378" spans="1:21" x14ac:dyDescent="0.35">
      <c r="A378">
        <v>270</v>
      </c>
      <c r="B378" t="s">
        <v>1522</v>
      </c>
      <c r="C378" s="1">
        <v>45267</v>
      </c>
      <c r="D378" s="1">
        <v>45271</v>
      </c>
      <c r="E378" t="s">
        <v>45</v>
      </c>
      <c r="F378" t="s">
        <v>1523</v>
      </c>
      <c r="G378" t="s">
        <v>477</v>
      </c>
      <c r="H378" t="s">
        <v>25</v>
      </c>
      <c r="I378" t="s">
        <v>26</v>
      </c>
      <c r="J378" t="s">
        <v>277</v>
      </c>
      <c r="K378" t="s">
        <v>277</v>
      </c>
      <c r="L378">
        <v>17130</v>
      </c>
      <c r="M378" t="s">
        <v>56</v>
      </c>
      <c r="N378" t="s">
        <v>1096</v>
      </c>
      <c r="O378" t="s">
        <v>41</v>
      </c>
      <c r="P378" t="s">
        <v>134</v>
      </c>
      <c r="Q378" t="s">
        <v>1524</v>
      </c>
      <c r="R378" s="2">
        <v>121.79</v>
      </c>
      <c r="S378">
        <v>4</v>
      </c>
      <c r="T378" s="3">
        <v>0.15</v>
      </c>
      <c r="U378" s="2">
        <v>19.2</v>
      </c>
    </row>
    <row r="379" spans="1:21" x14ac:dyDescent="0.35">
      <c r="A379">
        <v>463</v>
      </c>
      <c r="B379" t="s">
        <v>1525</v>
      </c>
      <c r="C379" s="1">
        <v>45269</v>
      </c>
      <c r="D379" s="1">
        <v>45271</v>
      </c>
      <c r="E379" t="s">
        <v>34</v>
      </c>
      <c r="F379" t="s">
        <v>1141</v>
      </c>
      <c r="G379" t="s">
        <v>773</v>
      </c>
      <c r="H379" t="s">
        <v>25</v>
      </c>
      <c r="I379" t="s">
        <v>26</v>
      </c>
      <c r="J379" t="s">
        <v>193</v>
      </c>
      <c r="K379" t="s">
        <v>193</v>
      </c>
      <c r="L379">
        <v>52503</v>
      </c>
      <c r="M379" t="s">
        <v>39</v>
      </c>
      <c r="N379" t="s">
        <v>789</v>
      </c>
      <c r="O379" t="s">
        <v>41</v>
      </c>
      <c r="P379" t="s">
        <v>106</v>
      </c>
      <c r="Q379" t="s">
        <v>107</v>
      </c>
      <c r="R379" s="2">
        <v>108.96</v>
      </c>
      <c r="S379">
        <v>3</v>
      </c>
      <c r="T379" s="3">
        <v>0.15</v>
      </c>
      <c r="U379" s="2">
        <v>13.98</v>
      </c>
    </row>
    <row r="380" spans="1:21" x14ac:dyDescent="0.35">
      <c r="A380">
        <v>135</v>
      </c>
      <c r="B380" t="s">
        <v>1526</v>
      </c>
      <c r="C380" s="1">
        <v>45270</v>
      </c>
      <c r="D380" s="1">
        <v>45276</v>
      </c>
      <c r="E380" t="s">
        <v>45</v>
      </c>
      <c r="F380" t="s">
        <v>1527</v>
      </c>
      <c r="G380" t="s">
        <v>369</v>
      </c>
      <c r="H380" t="s">
        <v>25</v>
      </c>
      <c r="I380" t="s">
        <v>26</v>
      </c>
      <c r="J380" t="s">
        <v>27</v>
      </c>
      <c r="K380" t="s">
        <v>27</v>
      </c>
      <c r="L380">
        <v>90257</v>
      </c>
      <c r="M380" t="s">
        <v>28</v>
      </c>
      <c r="N380" t="s">
        <v>1528</v>
      </c>
      <c r="O380" t="s">
        <v>30</v>
      </c>
      <c r="P380" t="s">
        <v>100</v>
      </c>
      <c r="Q380" t="s">
        <v>146</v>
      </c>
      <c r="R380" s="2">
        <v>334.89</v>
      </c>
      <c r="S380">
        <v>7</v>
      </c>
      <c r="T380" s="3">
        <v>0.2</v>
      </c>
      <c r="U380" s="2">
        <v>-39.909999999999997</v>
      </c>
    </row>
    <row r="381" spans="1:21" x14ac:dyDescent="0.35">
      <c r="A381">
        <v>9</v>
      </c>
      <c r="B381" t="s">
        <v>1529</v>
      </c>
      <c r="C381" s="1">
        <v>45271</v>
      </c>
      <c r="D381" s="1">
        <v>45274</v>
      </c>
      <c r="E381" t="s">
        <v>34</v>
      </c>
      <c r="F381" t="s">
        <v>1530</v>
      </c>
      <c r="G381" t="s">
        <v>326</v>
      </c>
      <c r="H381" t="s">
        <v>25</v>
      </c>
      <c r="I381" t="s">
        <v>26</v>
      </c>
      <c r="J381" t="s">
        <v>64</v>
      </c>
      <c r="K381" t="s">
        <v>64</v>
      </c>
      <c r="L381">
        <v>99474</v>
      </c>
      <c r="M381" t="s">
        <v>65</v>
      </c>
      <c r="N381" t="s">
        <v>1122</v>
      </c>
      <c r="O381" t="s">
        <v>41</v>
      </c>
      <c r="P381" t="s">
        <v>170</v>
      </c>
      <c r="Q381" t="s">
        <v>1531</v>
      </c>
      <c r="R381" s="2">
        <v>47.2</v>
      </c>
      <c r="S381">
        <v>1</v>
      </c>
      <c r="T381" s="3">
        <v>0.1</v>
      </c>
      <c r="U381" s="2">
        <v>7.99</v>
      </c>
    </row>
    <row r="382" spans="1:21" x14ac:dyDescent="0.35">
      <c r="A382">
        <v>406</v>
      </c>
      <c r="B382" t="s">
        <v>1532</v>
      </c>
      <c r="C382" s="1">
        <v>45274</v>
      </c>
      <c r="D382" s="1">
        <v>45278</v>
      </c>
      <c r="E382" t="s">
        <v>45</v>
      </c>
      <c r="F382" t="s">
        <v>1533</v>
      </c>
      <c r="G382" t="s">
        <v>316</v>
      </c>
      <c r="H382" t="s">
        <v>54</v>
      </c>
      <c r="I382" t="s">
        <v>26</v>
      </c>
      <c r="J382" t="s">
        <v>233</v>
      </c>
      <c r="K382" t="s">
        <v>233</v>
      </c>
      <c r="L382">
        <v>67853</v>
      </c>
      <c r="M382" t="s">
        <v>65</v>
      </c>
      <c r="N382" t="s">
        <v>1534</v>
      </c>
      <c r="O382" t="s">
        <v>41</v>
      </c>
      <c r="P382" t="s">
        <v>106</v>
      </c>
      <c r="Q382" t="s">
        <v>141</v>
      </c>
      <c r="R382" s="2">
        <v>128.82</v>
      </c>
      <c r="S382">
        <v>5</v>
      </c>
      <c r="T382" s="3">
        <v>0.15</v>
      </c>
      <c r="U382" s="2">
        <v>18.97</v>
      </c>
    </row>
    <row r="383" spans="1:21" x14ac:dyDescent="0.35">
      <c r="A383">
        <v>115</v>
      </c>
      <c r="B383" t="s">
        <v>1535</v>
      </c>
      <c r="C383" s="1">
        <v>45276</v>
      </c>
      <c r="D383" s="1">
        <v>45279</v>
      </c>
      <c r="E383" t="s">
        <v>22</v>
      </c>
      <c r="F383" t="s">
        <v>1536</v>
      </c>
      <c r="G383" t="s">
        <v>47</v>
      </c>
      <c r="H383" t="s">
        <v>25</v>
      </c>
      <c r="I383" t="s">
        <v>26</v>
      </c>
      <c r="J383" t="s">
        <v>168</v>
      </c>
      <c r="K383" t="s">
        <v>168</v>
      </c>
      <c r="L383">
        <v>73530</v>
      </c>
      <c r="M383" t="s">
        <v>28</v>
      </c>
      <c r="N383" t="s">
        <v>1537</v>
      </c>
      <c r="O383" t="s">
        <v>58</v>
      </c>
      <c r="P383" t="s">
        <v>89</v>
      </c>
      <c r="Q383" t="s">
        <v>408</v>
      </c>
      <c r="R383" s="2">
        <v>303.49</v>
      </c>
      <c r="S383">
        <v>5</v>
      </c>
      <c r="T383" s="3">
        <v>0</v>
      </c>
      <c r="U383" s="2">
        <v>71.17</v>
      </c>
    </row>
    <row r="384" spans="1:21" x14ac:dyDescent="0.35">
      <c r="A384">
        <v>446</v>
      </c>
      <c r="B384" t="s">
        <v>1538</v>
      </c>
      <c r="C384" s="1">
        <v>45276</v>
      </c>
      <c r="D384" s="1">
        <v>45280</v>
      </c>
      <c r="E384" t="s">
        <v>45</v>
      </c>
      <c r="F384" t="s">
        <v>1539</v>
      </c>
      <c r="G384" t="s">
        <v>634</v>
      </c>
      <c r="H384" t="s">
        <v>25</v>
      </c>
      <c r="I384" t="s">
        <v>26</v>
      </c>
      <c r="J384" t="s">
        <v>82</v>
      </c>
      <c r="K384" t="s">
        <v>82</v>
      </c>
      <c r="L384">
        <v>59228</v>
      </c>
      <c r="M384" t="s">
        <v>28</v>
      </c>
      <c r="N384" t="s">
        <v>1540</v>
      </c>
      <c r="O384" t="s">
        <v>58</v>
      </c>
      <c r="P384" t="s">
        <v>89</v>
      </c>
      <c r="Q384" t="s">
        <v>211</v>
      </c>
      <c r="R384" s="2">
        <v>275.72000000000003</v>
      </c>
      <c r="S384">
        <v>5</v>
      </c>
      <c r="T384" s="3">
        <v>0.2</v>
      </c>
      <c r="U384" s="2">
        <v>14.25</v>
      </c>
    </row>
    <row r="385" spans="1:21" x14ac:dyDescent="0.35">
      <c r="A385">
        <v>434</v>
      </c>
      <c r="B385" t="s">
        <v>1541</v>
      </c>
      <c r="C385" s="1">
        <v>45277</v>
      </c>
      <c r="D385" s="1">
        <v>45279</v>
      </c>
      <c r="E385" t="s">
        <v>34</v>
      </c>
      <c r="F385" t="s">
        <v>1542</v>
      </c>
      <c r="G385" t="s">
        <v>884</v>
      </c>
      <c r="H385" t="s">
        <v>37</v>
      </c>
      <c r="I385" t="s">
        <v>26</v>
      </c>
      <c r="J385" t="s">
        <v>187</v>
      </c>
      <c r="K385" t="s">
        <v>187</v>
      </c>
      <c r="L385">
        <v>74839</v>
      </c>
      <c r="M385" t="s">
        <v>39</v>
      </c>
      <c r="N385" t="s">
        <v>497</v>
      </c>
      <c r="O385" t="s">
        <v>41</v>
      </c>
      <c r="P385" t="s">
        <v>134</v>
      </c>
      <c r="Q385" t="s">
        <v>1367</v>
      </c>
      <c r="R385" s="2">
        <v>93.73</v>
      </c>
      <c r="S385">
        <v>3</v>
      </c>
      <c r="T385" s="3">
        <v>0</v>
      </c>
      <c r="U385" s="2">
        <v>18.059999999999999</v>
      </c>
    </row>
    <row r="386" spans="1:21" x14ac:dyDescent="0.35">
      <c r="A386">
        <v>36</v>
      </c>
      <c r="B386" t="s">
        <v>1543</v>
      </c>
      <c r="C386" s="1">
        <v>45278</v>
      </c>
      <c r="D386" s="1">
        <v>45280</v>
      </c>
      <c r="E386" t="s">
        <v>34</v>
      </c>
      <c r="F386" t="s">
        <v>1544</v>
      </c>
      <c r="G386" t="s">
        <v>1516</v>
      </c>
      <c r="H386" t="s">
        <v>25</v>
      </c>
      <c r="I386" t="s">
        <v>26</v>
      </c>
      <c r="J386" t="s">
        <v>181</v>
      </c>
      <c r="K386" t="s">
        <v>181</v>
      </c>
      <c r="L386">
        <v>34285</v>
      </c>
      <c r="M386" t="s">
        <v>65</v>
      </c>
      <c r="N386" t="s">
        <v>1221</v>
      </c>
      <c r="O386" t="s">
        <v>41</v>
      </c>
      <c r="P386" t="s">
        <v>106</v>
      </c>
      <c r="Q386" t="s">
        <v>483</v>
      </c>
      <c r="R386" s="2">
        <v>97.52</v>
      </c>
      <c r="S386">
        <v>6</v>
      </c>
      <c r="T386" s="3">
        <v>0.3</v>
      </c>
      <c r="U386" s="2">
        <v>7.13</v>
      </c>
    </row>
    <row r="387" spans="1:21" x14ac:dyDescent="0.35">
      <c r="A387">
        <v>539</v>
      </c>
      <c r="B387" t="s">
        <v>1545</v>
      </c>
      <c r="C387" s="1">
        <v>45280</v>
      </c>
      <c r="D387" s="1">
        <v>45283</v>
      </c>
      <c r="E387" t="s">
        <v>34</v>
      </c>
      <c r="F387" t="s">
        <v>1546</v>
      </c>
      <c r="G387" t="s">
        <v>743</v>
      </c>
      <c r="H387" t="s">
        <v>25</v>
      </c>
      <c r="I387" t="s">
        <v>26</v>
      </c>
      <c r="J387" t="s">
        <v>127</v>
      </c>
      <c r="K387" t="s">
        <v>127</v>
      </c>
      <c r="L387">
        <v>95013</v>
      </c>
      <c r="M387" t="s">
        <v>56</v>
      </c>
      <c r="N387" t="s">
        <v>486</v>
      </c>
      <c r="O387" t="s">
        <v>41</v>
      </c>
      <c r="P387" t="s">
        <v>106</v>
      </c>
      <c r="Q387" t="s">
        <v>1547</v>
      </c>
      <c r="R387" s="2">
        <v>19.54</v>
      </c>
      <c r="S387">
        <v>4</v>
      </c>
      <c r="T387" s="3">
        <v>0.3</v>
      </c>
      <c r="U387" s="2">
        <v>0.25</v>
      </c>
    </row>
    <row r="388" spans="1:21" x14ac:dyDescent="0.35">
      <c r="A388">
        <v>100</v>
      </c>
      <c r="B388" t="s">
        <v>1548</v>
      </c>
      <c r="C388" s="1">
        <v>45287</v>
      </c>
      <c r="D388" s="1">
        <v>45290</v>
      </c>
      <c r="E388" t="s">
        <v>34</v>
      </c>
      <c r="F388" t="s">
        <v>1549</v>
      </c>
      <c r="G388" t="s">
        <v>477</v>
      </c>
      <c r="H388" t="s">
        <v>25</v>
      </c>
      <c r="I388" t="s">
        <v>26</v>
      </c>
      <c r="J388" t="s">
        <v>71</v>
      </c>
      <c r="K388" t="s">
        <v>71</v>
      </c>
      <c r="L388">
        <v>46451</v>
      </c>
      <c r="M388" t="s">
        <v>56</v>
      </c>
      <c r="N388" t="s">
        <v>1550</v>
      </c>
      <c r="O388" t="s">
        <v>30</v>
      </c>
      <c r="P388" t="s">
        <v>157</v>
      </c>
      <c r="Q388" t="s">
        <v>1298</v>
      </c>
      <c r="R388" s="2">
        <v>122.18</v>
      </c>
      <c r="S388">
        <v>5</v>
      </c>
      <c r="T388" s="3">
        <v>0.1</v>
      </c>
      <c r="U388" s="2">
        <v>16.350000000000001</v>
      </c>
    </row>
    <row r="389" spans="1:21" x14ac:dyDescent="0.35">
      <c r="A389">
        <v>426</v>
      </c>
      <c r="B389" t="s">
        <v>1551</v>
      </c>
      <c r="C389" s="1">
        <v>45291</v>
      </c>
      <c r="D389" s="1">
        <v>45293</v>
      </c>
      <c r="E389" t="s">
        <v>22</v>
      </c>
      <c r="F389" t="s">
        <v>1552</v>
      </c>
      <c r="G389" t="s">
        <v>345</v>
      </c>
      <c r="H389" t="s">
        <v>25</v>
      </c>
      <c r="I389" t="s">
        <v>26</v>
      </c>
      <c r="J389" t="s">
        <v>64</v>
      </c>
      <c r="K389" t="s">
        <v>64</v>
      </c>
      <c r="L389">
        <v>91976</v>
      </c>
      <c r="M389" t="s">
        <v>65</v>
      </c>
      <c r="N389" t="s">
        <v>1553</v>
      </c>
      <c r="O389" t="s">
        <v>41</v>
      </c>
      <c r="P389" t="s">
        <v>134</v>
      </c>
      <c r="Q389" t="s">
        <v>1385</v>
      </c>
      <c r="R389" s="2">
        <v>129.4</v>
      </c>
      <c r="S389">
        <v>6</v>
      </c>
      <c r="T389" s="3">
        <v>0</v>
      </c>
      <c r="U389" s="2">
        <v>33.47</v>
      </c>
    </row>
    <row r="390" spans="1:21" x14ac:dyDescent="0.35">
      <c r="A390">
        <v>321</v>
      </c>
      <c r="B390" t="s">
        <v>1554</v>
      </c>
      <c r="C390" s="1">
        <v>45291</v>
      </c>
      <c r="D390" s="1">
        <v>45294</v>
      </c>
      <c r="E390" t="s">
        <v>34</v>
      </c>
      <c r="F390" t="s">
        <v>1555</v>
      </c>
      <c r="G390" t="s">
        <v>336</v>
      </c>
      <c r="H390" t="s">
        <v>25</v>
      </c>
      <c r="I390" t="s">
        <v>26</v>
      </c>
      <c r="J390" t="s">
        <v>233</v>
      </c>
      <c r="K390" t="s">
        <v>233</v>
      </c>
      <c r="L390">
        <v>49041</v>
      </c>
      <c r="M390" t="s">
        <v>65</v>
      </c>
      <c r="N390" t="s">
        <v>163</v>
      </c>
      <c r="O390" t="s">
        <v>41</v>
      </c>
      <c r="P390" t="s">
        <v>151</v>
      </c>
      <c r="Q390" t="s">
        <v>446</v>
      </c>
      <c r="R390" s="2">
        <v>27.41</v>
      </c>
      <c r="S390">
        <v>2</v>
      </c>
      <c r="T390" s="3">
        <v>0</v>
      </c>
      <c r="U390" s="2">
        <v>5.01</v>
      </c>
    </row>
    <row r="391" spans="1:21" x14ac:dyDescent="0.35">
      <c r="A391">
        <v>593</v>
      </c>
      <c r="B391" t="s">
        <v>1556</v>
      </c>
      <c r="C391" s="1">
        <v>45292</v>
      </c>
      <c r="D391" s="1">
        <v>45296</v>
      </c>
      <c r="E391" t="s">
        <v>34</v>
      </c>
      <c r="F391" t="s">
        <v>1557</v>
      </c>
      <c r="G391" t="s">
        <v>1558</v>
      </c>
      <c r="H391" t="s">
        <v>54</v>
      </c>
      <c r="I391" t="s">
        <v>26</v>
      </c>
      <c r="J391" t="s">
        <v>71</v>
      </c>
      <c r="K391" t="s">
        <v>71</v>
      </c>
      <c r="L391">
        <v>57445</v>
      </c>
      <c r="M391" t="s">
        <v>56</v>
      </c>
      <c r="N391" t="s">
        <v>1506</v>
      </c>
      <c r="O391" t="s">
        <v>30</v>
      </c>
      <c r="P391" t="s">
        <v>100</v>
      </c>
      <c r="Q391" t="s">
        <v>273</v>
      </c>
      <c r="R391" s="2">
        <v>96.42</v>
      </c>
      <c r="S391">
        <v>6</v>
      </c>
      <c r="T391" s="3">
        <v>0.2</v>
      </c>
      <c r="U391" s="2">
        <v>-1.21</v>
      </c>
    </row>
    <row r="392" spans="1:21" x14ac:dyDescent="0.35">
      <c r="A392">
        <v>269</v>
      </c>
      <c r="B392" t="s">
        <v>1559</v>
      </c>
      <c r="C392" s="1">
        <v>45292</v>
      </c>
      <c r="D392" s="1">
        <v>45294</v>
      </c>
      <c r="E392" t="s">
        <v>34</v>
      </c>
      <c r="F392" t="s">
        <v>1560</v>
      </c>
      <c r="G392" t="s">
        <v>144</v>
      </c>
      <c r="H392" t="s">
        <v>25</v>
      </c>
      <c r="I392" t="s">
        <v>26</v>
      </c>
      <c r="J392" t="s">
        <v>204</v>
      </c>
      <c r="K392" t="s">
        <v>204</v>
      </c>
      <c r="L392">
        <v>99524</v>
      </c>
      <c r="M392" t="s">
        <v>39</v>
      </c>
      <c r="N392" t="s">
        <v>1561</v>
      </c>
      <c r="O392" t="s">
        <v>41</v>
      </c>
      <c r="P392" t="s">
        <v>73</v>
      </c>
      <c r="Q392" t="s">
        <v>1562</v>
      </c>
      <c r="R392" s="2">
        <v>74.47</v>
      </c>
      <c r="S392">
        <v>2</v>
      </c>
      <c r="T392" s="3">
        <v>0</v>
      </c>
      <c r="U392" s="2">
        <v>14.96</v>
      </c>
    </row>
    <row r="393" spans="1:21" x14ac:dyDescent="0.35">
      <c r="A393">
        <v>246</v>
      </c>
      <c r="B393" t="s">
        <v>1563</v>
      </c>
      <c r="C393" s="1">
        <v>45293</v>
      </c>
      <c r="D393" s="1">
        <v>45299</v>
      </c>
      <c r="E393" t="s">
        <v>34</v>
      </c>
      <c r="F393" t="s">
        <v>1564</v>
      </c>
      <c r="G393" t="s">
        <v>138</v>
      </c>
      <c r="H393" t="s">
        <v>25</v>
      </c>
      <c r="I393" t="s">
        <v>26</v>
      </c>
      <c r="J393" t="s">
        <v>233</v>
      </c>
      <c r="K393" t="s">
        <v>233</v>
      </c>
      <c r="L393">
        <v>15454</v>
      </c>
      <c r="M393" t="s">
        <v>65</v>
      </c>
      <c r="N393" t="s">
        <v>914</v>
      </c>
      <c r="O393" t="s">
        <v>30</v>
      </c>
      <c r="P393" t="s">
        <v>157</v>
      </c>
      <c r="Q393" t="s">
        <v>1565</v>
      </c>
      <c r="R393" s="2">
        <v>160.43</v>
      </c>
      <c r="S393">
        <v>1</v>
      </c>
      <c r="T393" s="3">
        <v>0.15</v>
      </c>
      <c r="U393" s="2">
        <v>15.65</v>
      </c>
    </row>
    <row r="394" spans="1:21" x14ac:dyDescent="0.35">
      <c r="A394">
        <v>81</v>
      </c>
      <c r="B394" t="s">
        <v>1566</v>
      </c>
      <c r="C394" s="1">
        <v>45295</v>
      </c>
      <c r="D394" s="1">
        <v>45297</v>
      </c>
      <c r="E394" t="s">
        <v>34</v>
      </c>
      <c r="F394" t="s">
        <v>1567</v>
      </c>
      <c r="G394" t="s">
        <v>63</v>
      </c>
      <c r="H394" t="s">
        <v>25</v>
      </c>
      <c r="I394" t="s">
        <v>26</v>
      </c>
      <c r="J394" t="s">
        <v>139</v>
      </c>
      <c r="K394" t="s">
        <v>139</v>
      </c>
      <c r="L394">
        <v>95708</v>
      </c>
      <c r="M394" t="s">
        <v>65</v>
      </c>
      <c r="N394" t="s">
        <v>1128</v>
      </c>
      <c r="O394" t="s">
        <v>41</v>
      </c>
      <c r="P394" t="s">
        <v>73</v>
      </c>
      <c r="Q394" t="s">
        <v>450</v>
      </c>
      <c r="R394" s="2">
        <v>86.64</v>
      </c>
      <c r="S394">
        <v>2</v>
      </c>
      <c r="T394" s="3">
        <v>0.3</v>
      </c>
      <c r="U394" s="2">
        <v>-2.15</v>
      </c>
    </row>
    <row r="395" spans="1:21" x14ac:dyDescent="0.35">
      <c r="A395">
        <v>217</v>
      </c>
      <c r="B395" t="s">
        <v>1568</v>
      </c>
      <c r="C395" s="1">
        <v>45297</v>
      </c>
      <c r="D395" s="1">
        <v>45300</v>
      </c>
      <c r="E395" t="s">
        <v>45</v>
      </c>
      <c r="F395" t="s">
        <v>1569</v>
      </c>
      <c r="G395" t="s">
        <v>1057</v>
      </c>
      <c r="H395" t="s">
        <v>54</v>
      </c>
      <c r="I395" t="s">
        <v>26</v>
      </c>
      <c r="J395" t="s">
        <v>55</v>
      </c>
      <c r="K395" t="s">
        <v>55</v>
      </c>
      <c r="L395">
        <v>62198</v>
      </c>
      <c r="M395" t="s">
        <v>56</v>
      </c>
      <c r="N395" t="s">
        <v>1570</v>
      </c>
      <c r="O395" t="s">
        <v>41</v>
      </c>
      <c r="P395" t="s">
        <v>134</v>
      </c>
      <c r="Q395" t="s">
        <v>1571</v>
      </c>
      <c r="R395" s="2">
        <v>42.97</v>
      </c>
      <c r="S395">
        <v>4</v>
      </c>
      <c r="T395" s="3">
        <v>0.15</v>
      </c>
      <c r="U395" s="2">
        <v>7</v>
      </c>
    </row>
    <row r="396" spans="1:21" x14ac:dyDescent="0.35">
      <c r="A396">
        <v>359</v>
      </c>
      <c r="B396" t="s">
        <v>1572</v>
      </c>
      <c r="C396" s="1">
        <v>45299</v>
      </c>
      <c r="D396" s="1">
        <v>45305</v>
      </c>
      <c r="E396" t="s">
        <v>34</v>
      </c>
      <c r="F396" t="s">
        <v>1573</v>
      </c>
      <c r="G396" t="s">
        <v>116</v>
      </c>
      <c r="H396" t="s">
        <v>37</v>
      </c>
      <c r="I396" t="s">
        <v>26</v>
      </c>
      <c r="J396" t="s">
        <v>168</v>
      </c>
      <c r="K396" t="s">
        <v>168</v>
      </c>
      <c r="L396">
        <v>81776</v>
      </c>
      <c r="M396" t="s">
        <v>28</v>
      </c>
      <c r="N396" t="s">
        <v>1366</v>
      </c>
      <c r="O396" t="s">
        <v>41</v>
      </c>
      <c r="P396" t="s">
        <v>134</v>
      </c>
      <c r="Q396" t="s">
        <v>1139</v>
      </c>
      <c r="R396" s="2">
        <v>45.78</v>
      </c>
      <c r="S396">
        <v>7</v>
      </c>
      <c r="T396" s="3">
        <v>0.5</v>
      </c>
      <c r="U396" s="2">
        <v>-9.18</v>
      </c>
    </row>
    <row r="397" spans="1:21" x14ac:dyDescent="0.35">
      <c r="A397">
        <v>106</v>
      </c>
      <c r="B397" t="s">
        <v>1574</v>
      </c>
      <c r="C397" s="1">
        <v>45299</v>
      </c>
      <c r="D397" s="1">
        <v>45300</v>
      </c>
      <c r="E397" t="s">
        <v>34</v>
      </c>
      <c r="F397" t="s">
        <v>1575</v>
      </c>
      <c r="G397" t="s">
        <v>998</v>
      </c>
      <c r="H397" t="s">
        <v>25</v>
      </c>
      <c r="I397" t="s">
        <v>26</v>
      </c>
      <c r="J397" t="s">
        <v>162</v>
      </c>
      <c r="K397" t="s">
        <v>162</v>
      </c>
      <c r="L397">
        <v>93362</v>
      </c>
      <c r="M397" t="s">
        <v>28</v>
      </c>
      <c r="N397" t="s">
        <v>1576</v>
      </c>
      <c r="O397" t="s">
        <v>41</v>
      </c>
      <c r="P397" t="s">
        <v>106</v>
      </c>
      <c r="Q397" t="s">
        <v>1577</v>
      </c>
      <c r="R397" s="2">
        <v>67.33</v>
      </c>
      <c r="S397">
        <v>4</v>
      </c>
      <c r="T397" s="3">
        <v>0.1</v>
      </c>
      <c r="U397" s="2">
        <v>11.57</v>
      </c>
    </row>
    <row r="398" spans="1:21" x14ac:dyDescent="0.35">
      <c r="A398">
        <v>73</v>
      </c>
      <c r="B398" t="s">
        <v>1578</v>
      </c>
      <c r="C398" s="1">
        <v>45299</v>
      </c>
      <c r="D398" s="1">
        <v>45304</v>
      </c>
      <c r="E398" t="s">
        <v>34</v>
      </c>
      <c r="F398" t="s">
        <v>1579</v>
      </c>
      <c r="G398" t="s">
        <v>87</v>
      </c>
      <c r="H398" t="s">
        <v>37</v>
      </c>
      <c r="I398" t="s">
        <v>26</v>
      </c>
      <c r="J398" t="s">
        <v>233</v>
      </c>
      <c r="K398" t="s">
        <v>233</v>
      </c>
      <c r="L398">
        <v>19903</v>
      </c>
      <c r="M398" t="s">
        <v>65</v>
      </c>
      <c r="N398" t="s">
        <v>1580</v>
      </c>
      <c r="O398" t="s">
        <v>41</v>
      </c>
      <c r="P398" t="s">
        <v>170</v>
      </c>
      <c r="Q398" t="s">
        <v>1531</v>
      </c>
      <c r="R398" s="2">
        <v>17.66</v>
      </c>
      <c r="S398">
        <v>2</v>
      </c>
      <c r="T398" s="3">
        <v>0.15</v>
      </c>
      <c r="U398" s="2">
        <v>1.76</v>
      </c>
    </row>
    <row r="399" spans="1:21" x14ac:dyDescent="0.35">
      <c r="A399">
        <v>495</v>
      </c>
      <c r="B399" t="s">
        <v>1581</v>
      </c>
      <c r="C399" s="1">
        <v>45301</v>
      </c>
      <c r="D399" s="1">
        <v>45304</v>
      </c>
      <c r="E399" t="s">
        <v>45</v>
      </c>
      <c r="F399" t="s">
        <v>1582</v>
      </c>
      <c r="G399" t="s">
        <v>818</v>
      </c>
      <c r="H399" t="s">
        <v>37</v>
      </c>
      <c r="I399" t="s">
        <v>26</v>
      </c>
      <c r="J399" t="s">
        <v>331</v>
      </c>
      <c r="K399" t="s">
        <v>331</v>
      </c>
      <c r="L399">
        <v>96158</v>
      </c>
      <c r="M399" t="s">
        <v>28</v>
      </c>
      <c r="N399" t="s">
        <v>210</v>
      </c>
      <c r="O399" t="s">
        <v>58</v>
      </c>
      <c r="P399" t="s">
        <v>112</v>
      </c>
      <c r="Q399" t="s">
        <v>1583</v>
      </c>
      <c r="R399" s="2">
        <v>556.92999999999995</v>
      </c>
      <c r="S399">
        <v>4</v>
      </c>
      <c r="T399" s="3">
        <v>0.4</v>
      </c>
      <c r="U399" s="2">
        <v>0.66</v>
      </c>
    </row>
    <row r="400" spans="1:21" x14ac:dyDescent="0.35">
      <c r="A400">
        <v>114</v>
      </c>
      <c r="B400" t="s">
        <v>1584</v>
      </c>
      <c r="C400" s="1">
        <v>45305</v>
      </c>
      <c r="D400" s="1">
        <v>45309</v>
      </c>
      <c r="E400" t="s">
        <v>290</v>
      </c>
      <c r="F400" t="s">
        <v>1585</v>
      </c>
      <c r="G400" t="s">
        <v>144</v>
      </c>
      <c r="H400" t="s">
        <v>25</v>
      </c>
      <c r="I400" t="s">
        <v>26</v>
      </c>
      <c r="J400" t="s">
        <v>139</v>
      </c>
      <c r="K400" t="s">
        <v>139</v>
      </c>
      <c r="L400">
        <v>38671</v>
      </c>
      <c r="M400" t="s">
        <v>65</v>
      </c>
      <c r="N400" t="s">
        <v>1586</v>
      </c>
      <c r="O400" t="s">
        <v>41</v>
      </c>
      <c r="P400" t="s">
        <v>151</v>
      </c>
      <c r="Q400" t="s">
        <v>1587</v>
      </c>
      <c r="R400" s="2">
        <v>134.34</v>
      </c>
      <c r="S400">
        <v>5</v>
      </c>
      <c r="T400" s="3">
        <v>0.1</v>
      </c>
      <c r="U400" s="2">
        <v>16.059999999999999</v>
      </c>
    </row>
    <row r="401" spans="1:21" x14ac:dyDescent="0.35">
      <c r="A401">
        <v>296</v>
      </c>
      <c r="B401" t="s">
        <v>1588</v>
      </c>
      <c r="C401" s="1">
        <v>45309</v>
      </c>
      <c r="D401" s="1">
        <v>45310</v>
      </c>
      <c r="E401" t="s">
        <v>45</v>
      </c>
      <c r="F401" t="s">
        <v>1589</v>
      </c>
      <c r="G401" t="s">
        <v>149</v>
      </c>
      <c r="H401" t="s">
        <v>25</v>
      </c>
      <c r="I401" t="s">
        <v>26</v>
      </c>
      <c r="J401" t="s">
        <v>64</v>
      </c>
      <c r="K401" t="s">
        <v>64</v>
      </c>
      <c r="L401">
        <v>29773</v>
      </c>
      <c r="M401" t="s">
        <v>65</v>
      </c>
      <c r="N401" t="s">
        <v>970</v>
      </c>
      <c r="O401" t="s">
        <v>41</v>
      </c>
      <c r="P401" t="s">
        <v>42</v>
      </c>
      <c r="Q401" t="s">
        <v>992</v>
      </c>
      <c r="R401" s="2">
        <v>35.770000000000003</v>
      </c>
      <c r="S401">
        <v>5</v>
      </c>
      <c r="T401" s="3">
        <v>0.05</v>
      </c>
      <c r="U401" s="2">
        <v>4.5599999999999996</v>
      </c>
    </row>
    <row r="402" spans="1:21" x14ac:dyDescent="0.35">
      <c r="A402">
        <v>272</v>
      </c>
      <c r="B402" t="s">
        <v>1590</v>
      </c>
      <c r="C402" s="1">
        <v>45313</v>
      </c>
      <c r="D402" s="1">
        <v>45315</v>
      </c>
      <c r="E402" t="s">
        <v>34</v>
      </c>
      <c r="F402" t="s">
        <v>1591</v>
      </c>
      <c r="G402" t="s">
        <v>209</v>
      </c>
      <c r="H402" t="s">
        <v>25</v>
      </c>
      <c r="I402" t="s">
        <v>26</v>
      </c>
      <c r="J402" t="s">
        <v>82</v>
      </c>
      <c r="K402" t="s">
        <v>82</v>
      </c>
      <c r="L402">
        <v>58994</v>
      </c>
      <c r="M402" t="s">
        <v>28</v>
      </c>
      <c r="N402" t="s">
        <v>1586</v>
      </c>
      <c r="O402" t="s">
        <v>41</v>
      </c>
      <c r="P402" t="s">
        <v>151</v>
      </c>
      <c r="Q402" t="s">
        <v>152</v>
      </c>
      <c r="R402" s="2">
        <v>72.84</v>
      </c>
      <c r="S402">
        <v>3</v>
      </c>
      <c r="T402" s="3">
        <v>0.1</v>
      </c>
      <c r="U402" s="2">
        <v>15.35</v>
      </c>
    </row>
    <row r="403" spans="1:21" x14ac:dyDescent="0.35">
      <c r="A403">
        <v>528</v>
      </c>
      <c r="B403" t="s">
        <v>1592</v>
      </c>
      <c r="C403" s="1">
        <v>45314</v>
      </c>
      <c r="D403" s="1">
        <v>45317</v>
      </c>
      <c r="E403" t="s">
        <v>34</v>
      </c>
      <c r="F403" t="s">
        <v>1593</v>
      </c>
      <c r="G403" t="s">
        <v>243</v>
      </c>
      <c r="H403" t="s">
        <v>37</v>
      </c>
      <c r="I403" t="s">
        <v>26</v>
      </c>
      <c r="J403" t="s">
        <v>82</v>
      </c>
      <c r="K403" t="s">
        <v>82</v>
      </c>
      <c r="L403">
        <v>26702</v>
      </c>
      <c r="M403" t="s">
        <v>28</v>
      </c>
      <c r="N403" t="s">
        <v>1594</v>
      </c>
      <c r="O403" t="s">
        <v>41</v>
      </c>
      <c r="P403" t="s">
        <v>42</v>
      </c>
      <c r="Q403" t="s">
        <v>78</v>
      </c>
      <c r="R403" s="2">
        <v>99.72</v>
      </c>
      <c r="S403">
        <v>5</v>
      </c>
      <c r="T403" s="3">
        <v>0.3</v>
      </c>
      <c r="U403" s="2">
        <v>-1.62</v>
      </c>
    </row>
    <row r="404" spans="1:21" x14ac:dyDescent="0.35">
      <c r="A404">
        <v>339</v>
      </c>
      <c r="B404" t="s">
        <v>1595</v>
      </c>
      <c r="C404" s="1">
        <v>45315</v>
      </c>
      <c r="D404" s="1">
        <v>45318</v>
      </c>
      <c r="E404" t="s">
        <v>22</v>
      </c>
      <c r="F404" t="s">
        <v>1596</v>
      </c>
      <c r="G404" t="s">
        <v>686</v>
      </c>
      <c r="H404" t="s">
        <v>25</v>
      </c>
      <c r="I404" t="s">
        <v>26</v>
      </c>
      <c r="J404" t="s">
        <v>181</v>
      </c>
      <c r="K404" t="s">
        <v>181</v>
      </c>
      <c r="L404">
        <v>78593</v>
      </c>
      <c r="M404" t="s">
        <v>65</v>
      </c>
      <c r="N404" t="s">
        <v>1597</v>
      </c>
      <c r="O404" t="s">
        <v>30</v>
      </c>
      <c r="P404" t="s">
        <v>31</v>
      </c>
      <c r="Q404" t="s">
        <v>431</v>
      </c>
      <c r="R404" s="2">
        <v>22.76</v>
      </c>
      <c r="S404">
        <v>5</v>
      </c>
      <c r="T404" s="3">
        <v>0</v>
      </c>
      <c r="U404" s="2">
        <v>3.65</v>
      </c>
    </row>
    <row r="405" spans="1:21" x14ac:dyDescent="0.35">
      <c r="A405">
        <v>391</v>
      </c>
      <c r="B405" t="s">
        <v>1598</v>
      </c>
      <c r="C405" s="1">
        <v>45318</v>
      </c>
      <c r="D405" s="1">
        <v>45320</v>
      </c>
      <c r="E405" t="s">
        <v>34</v>
      </c>
      <c r="F405" t="s">
        <v>1599</v>
      </c>
      <c r="G405" t="s">
        <v>316</v>
      </c>
      <c r="H405" t="s">
        <v>54</v>
      </c>
      <c r="I405" t="s">
        <v>26</v>
      </c>
      <c r="J405" t="s">
        <v>139</v>
      </c>
      <c r="K405" t="s">
        <v>139</v>
      </c>
      <c r="L405">
        <v>17910</v>
      </c>
      <c r="M405" t="s">
        <v>65</v>
      </c>
      <c r="N405" t="s">
        <v>1600</v>
      </c>
      <c r="O405" t="s">
        <v>30</v>
      </c>
      <c r="P405" t="s">
        <v>31</v>
      </c>
      <c r="Q405" t="s">
        <v>529</v>
      </c>
      <c r="R405" s="2">
        <v>300.47000000000003</v>
      </c>
      <c r="S405">
        <v>5</v>
      </c>
      <c r="T405" s="3">
        <v>0.1</v>
      </c>
      <c r="U405" s="2">
        <v>32.72</v>
      </c>
    </row>
    <row r="406" spans="1:21" x14ac:dyDescent="0.35">
      <c r="A406">
        <v>493</v>
      </c>
      <c r="B406" t="s">
        <v>1601</v>
      </c>
      <c r="C406" s="1">
        <v>45318</v>
      </c>
      <c r="D406" s="1">
        <v>45323</v>
      </c>
      <c r="E406" t="s">
        <v>34</v>
      </c>
      <c r="F406" t="s">
        <v>1602</v>
      </c>
      <c r="G406" t="s">
        <v>411</v>
      </c>
      <c r="H406" t="s">
        <v>37</v>
      </c>
      <c r="I406" t="s">
        <v>26</v>
      </c>
      <c r="J406" t="s">
        <v>187</v>
      </c>
      <c r="K406" t="s">
        <v>187</v>
      </c>
      <c r="L406">
        <v>16212</v>
      </c>
      <c r="M406" t="s">
        <v>39</v>
      </c>
      <c r="N406" t="s">
        <v>1603</v>
      </c>
      <c r="O406" t="s">
        <v>58</v>
      </c>
      <c r="P406" t="s">
        <v>307</v>
      </c>
      <c r="Q406" t="s">
        <v>1604</v>
      </c>
      <c r="R406" s="2">
        <v>175.97</v>
      </c>
      <c r="S406">
        <v>7</v>
      </c>
      <c r="T406" s="3">
        <v>0.2</v>
      </c>
      <c r="U406" s="2">
        <v>34.74</v>
      </c>
    </row>
    <row r="407" spans="1:21" x14ac:dyDescent="0.35">
      <c r="A407">
        <v>508</v>
      </c>
      <c r="B407" t="s">
        <v>1605</v>
      </c>
      <c r="C407" s="1">
        <v>45320</v>
      </c>
      <c r="D407" s="1">
        <v>45321</v>
      </c>
      <c r="E407" t="s">
        <v>290</v>
      </c>
      <c r="F407" t="s">
        <v>1606</v>
      </c>
      <c r="G407" t="s">
        <v>562</v>
      </c>
      <c r="H407" t="s">
        <v>54</v>
      </c>
      <c r="I407" t="s">
        <v>26</v>
      </c>
      <c r="J407" t="s">
        <v>233</v>
      </c>
      <c r="K407" t="s">
        <v>233</v>
      </c>
      <c r="L407">
        <v>40846</v>
      </c>
      <c r="M407" t="s">
        <v>65</v>
      </c>
      <c r="N407" t="s">
        <v>1607</v>
      </c>
      <c r="O407" t="s">
        <v>41</v>
      </c>
      <c r="P407" t="s">
        <v>73</v>
      </c>
      <c r="Q407" t="s">
        <v>323</v>
      </c>
      <c r="R407" s="2">
        <v>91.18</v>
      </c>
      <c r="S407">
        <v>3</v>
      </c>
      <c r="T407" s="3">
        <v>0.3</v>
      </c>
      <c r="U407" s="2">
        <v>0.48</v>
      </c>
    </row>
    <row r="408" spans="1:21" x14ac:dyDescent="0.35">
      <c r="A408">
        <v>307</v>
      </c>
      <c r="B408" t="s">
        <v>1608</v>
      </c>
      <c r="C408" s="1">
        <v>45323</v>
      </c>
      <c r="D408" s="1">
        <v>45326</v>
      </c>
      <c r="E408" t="s">
        <v>34</v>
      </c>
      <c r="F408" t="s">
        <v>1609</v>
      </c>
      <c r="G408" t="s">
        <v>672</v>
      </c>
      <c r="H408" t="s">
        <v>25</v>
      </c>
      <c r="I408" t="s">
        <v>26</v>
      </c>
      <c r="J408" t="s">
        <v>162</v>
      </c>
      <c r="K408" t="s">
        <v>162</v>
      </c>
      <c r="L408">
        <v>72894</v>
      </c>
      <c r="M408" t="s">
        <v>28</v>
      </c>
      <c r="N408" t="s">
        <v>1054</v>
      </c>
      <c r="O408" t="s">
        <v>58</v>
      </c>
      <c r="P408" t="s">
        <v>89</v>
      </c>
      <c r="Q408" t="s">
        <v>1610</v>
      </c>
      <c r="R408" s="2">
        <v>258.02999999999997</v>
      </c>
      <c r="S408">
        <v>3</v>
      </c>
      <c r="T408" s="3">
        <v>0.1</v>
      </c>
      <c r="U408" s="2">
        <v>49.23</v>
      </c>
    </row>
    <row r="409" spans="1:21" x14ac:dyDescent="0.35">
      <c r="A409">
        <v>126</v>
      </c>
      <c r="B409" t="s">
        <v>1611</v>
      </c>
      <c r="C409" s="1">
        <v>45324</v>
      </c>
      <c r="D409" s="1">
        <v>45328</v>
      </c>
      <c r="E409" t="s">
        <v>34</v>
      </c>
      <c r="F409" t="s">
        <v>1612</v>
      </c>
      <c r="G409" t="s">
        <v>701</v>
      </c>
      <c r="H409" t="s">
        <v>25</v>
      </c>
      <c r="I409" t="s">
        <v>26</v>
      </c>
      <c r="J409" t="s">
        <v>38</v>
      </c>
      <c r="K409" t="s">
        <v>38</v>
      </c>
      <c r="L409">
        <v>24472</v>
      </c>
      <c r="M409" t="s">
        <v>39</v>
      </c>
      <c r="N409" t="s">
        <v>1613</v>
      </c>
      <c r="O409" t="s">
        <v>58</v>
      </c>
      <c r="P409" t="s">
        <v>89</v>
      </c>
      <c r="Q409" t="s">
        <v>1359</v>
      </c>
      <c r="R409" s="2">
        <v>64.91</v>
      </c>
      <c r="S409">
        <v>7</v>
      </c>
      <c r="T409" s="3">
        <v>0.3</v>
      </c>
      <c r="U409" s="2">
        <v>1.9</v>
      </c>
    </row>
    <row r="410" spans="1:21" x14ac:dyDescent="0.35">
      <c r="A410">
        <v>111</v>
      </c>
      <c r="B410" t="s">
        <v>1614</v>
      </c>
      <c r="C410" s="1">
        <v>45325</v>
      </c>
      <c r="D410" s="1">
        <v>45328</v>
      </c>
      <c r="E410" t="s">
        <v>34</v>
      </c>
      <c r="F410" t="s">
        <v>1615</v>
      </c>
      <c r="G410" t="s">
        <v>884</v>
      </c>
      <c r="H410" t="s">
        <v>25</v>
      </c>
      <c r="I410" t="s">
        <v>26</v>
      </c>
      <c r="J410" t="s">
        <v>168</v>
      </c>
      <c r="K410" t="s">
        <v>168</v>
      </c>
      <c r="L410">
        <v>61196</v>
      </c>
      <c r="M410" t="s">
        <v>28</v>
      </c>
      <c r="N410" t="s">
        <v>822</v>
      </c>
      <c r="O410" t="s">
        <v>58</v>
      </c>
      <c r="P410" t="s">
        <v>59</v>
      </c>
      <c r="Q410" t="s">
        <v>521</v>
      </c>
      <c r="R410" s="2">
        <v>311.66000000000003</v>
      </c>
      <c r="S410">
        <v>7</v>
      </c>
      <c r="T410" s="3">
        <v>0.3</v>
      </c>
      <c r="U410" s="2">
        <v>44.56</v>
      </c>
    </row>
    <row r="411" spans="1:21" x14ac:dyDescent="0.35">
      <c r="A411">
        <v>303</v>
      </c>
      <c r="B411" t="s">
        <v>1616</v>
      </c>
      <c r="C411" s="1">
        <v>45326</v>
      </c>
      <c r="D411" s="1">
        <v>45329</v>
      </c>
      <c r="E411" t="s">
        <v>34</v>
      </c>
      <c r="F411" t="s">
        <v>1617</v>
      </c>
      <c r="G411" t="s">
        <v>227</v>
      </c>
      <c r="H411" t="s">
        <v>25</v>
      </c>
      <c r="I411" t="s">
        <v>26</v>
      </c>
      <c r="J411" t="s">
        <v>55</v>
      </c>
      <c r="K411" t="s">
        <v>55</v>
      </c>
      <c r="L411">
        <v>29065</v>
      </c>
      <c r="M411" t="s">
        <v>56</v>
      </c>
      <c r="N411" t="s">
        <v>1618</v>
      </c>
      <c r="O411" t="s">
        <v>58</v>
      </c>
      <c r="P411" t="s">
        <v>112</v>
      </c>
      <c r="Q411" t="s">
        <v>1507</v>
      </c>
      <c r="R411" s="2">
        <v>49.75</v>
      </c>
      <c r="S411">
        <v>5</v>
      </c>
      <c r="T411" s="3">
        <v>0.3</v>
      </c>
      <c r="U411" s="2">
        <v>6.89</v>
      </c>
    </row>
    <row r="412" spans="1:21" x14ac:dyDescent="0.35">
      <c r="A412">
        <v>476</v>
      </c>
      <c r="B412" t="s">
        <v>1619</v>
      </c>
      <c r="C412" s="1">
        <v>45327</v>
      </c>
      <c r="D412" s="1">
        <v>45330</v>
      </c>
      <c r="E412" t="s">
        <v>34</v>
      </c>
      <c r="F412" t="s">
        <v>1620</v>
      </c>
      <c r="G412" t="s">
        <v>392</v>
      </c>
      <c r="H412" t="s">
        <v>37</v>
      </c>
      <c r="I412" t="s">
        <v>26</v>
      </c>
      <c r="J412" t="s">
        <v>27</v>
      </c>
      <c r="K412" t="s">
        <v>27</v>
      </c>
      <c r="L412">
        <v>89409</v>
      </c>
      <c r="M412" t="s">
        <v>28</v>
      </c>
      <c r="N412" t="s">
        <v>1621</v>
      </c>
      <c r="O412" t="s">
        <v>30</v>
      </c>
      <c r="P412" t="s">
        <v>100</v>
      </c>
      <c r="Q412" t="s">
        <v>427</v>
      </c>
      <c r="R412" s="2">
        <v>258.45999999999998</v>
      </c>
      <c r="S412">
        <v>2</v>
      </c>
      <c r="T412" s="3">
        <v>0.2</v>
      </c>
      <c r="U412" s="2">
        <v>8.2100000000000009</v>
      </c>
    </row>
    <row r="413" spans="1:21" x14ac:dyDescent="0.35">
      <c r="A413">
        <v>335</v>
      </c>
      <c r="B413" t="s">
        <v>1622</v>
      </c>
      <c r="C413" s="1">
        <v>45329</v>
      </c>
      <c r="D413" s="1">
        <v>45335</v>
      </c>
      <c r="E413" t="s">
        <v>34</v>
      </c>
      <c r="F413" t="s">
        <v>1623</v>
      </c>
      <c r="G413" t="s">
        <v>1624</v>
      </c>
      <c r="H413" t="s">
        <v>25</v>
      </c>
      <c r="I413" t="s">
        <v>26</v>
      </c>
      <c r="J413" t="s">
        <v>204</v>
      </c>
      <c r="K413" t="s">
        <v>204</v>
      </c>
      <c r="L413">
        <v>52292</v>
      </c>
      <c r="M413" t="s">
        <v>39</v>
      </c>
      <c r="N413" t="s">
        <v>640</v>
      </c>
      <c r="O413" t="s">
        <v>58</v>
      </c>
      <c r="P413" t="s">
        <v>112</v>
      </c>
      <c r="Q413" t="s">
        <v>841</v>
      </c>
      <c r="R413" s="2">
        <v>257.25</v>
      </c>
      <c r="S413">
        <v>6</v>
      </c>
      <c r="T413" s="3">
        <v>0.5</v>
      </c>
      <c r="U413" s="2">
        <v>-15.23</v>
      </c>
    </row>
    <row r="414" spans="1:21" x14ac:dyDescent="0.35">
      <c r="A414">
        <v>118</v>
      </c>
      <c r="B414" t="s">
        <v>1625</v>
      </c>
      <c r="C414" s="1">
        <v>45331</v>
      </c>
      <c r="D414" s="1">
        <v>45334</v>
      </c>
      <c r="E414" t="s">
        <v>45</v>
      </c>
      <c r="F414" t="s">
        <v>1626</v>
      </c>
      <c r="G414" t="s">
        <v>756</v>
      </c>
      <c r="H414" t="s">
        <v>37</v>
      </c>
      <c r="I414" t="s">
        <v>26</v>
      </c>
      <c r="J414" t="s">
        <v>64</v>
      </c>
      <c r="K414" t="s">
        <v>64</v>
      </c>
      <c r="L414">
        <v>87811</v>
      </c>
      <c r="M414" t="s">
        <v>65</v>
      </c>
      <c r="N414" t="s">
        <v>1627</v>
      </c>
      <c r="O414" t="s">
        <v>58</v>
      </c>
      <c r="P414" t="s">
        <v>89</v>
      </c>
      <c r="Q414" t="s">
        <v>1214</v>
      </c>
      <c r="R414" s="2">
        <v>108.7</v>
      </c>
      <c r="S414">
        <v>6</v>
      </c>
      <c r="T414" s="3">
        <v>0.15</v>
      </c>
      <c r="U414" s="2">
        <v>20.82</v>
      </c>
    </row>
    <row r="415" spans="1:21" x14ac:dyDescent="0.35">
      <c r="A415">
        <v>161</v>
      </c>
      <c r="B415" t="s">
        <v>1628</v>
      </c>
      <c r="C415" s="1">
        <v>45333</v>
      </c>
      <c r="D415" s="1">
        <v>45337</v>
      </c>
      <c r="E415" t="s">
        <v>34</v>
      </c>
      <c r="F415" t="s">
        <v>1629</v>
      </c>
      <c r="G415" t="s">
        <v>1145</v>
      </c>
      <c r="H415" t="s">
        <v>25</v>
      </c>
      <c r="I415" t="s">
        <v>26</v>
      </c>
      <c r="J415" t="s">
        <v>48</v>
      </c>
      <c r="K415" t="s">
        <v>48</v>
      </c>
      <c r="L415">
        <v>15845</v>
      </c>
      <c r="M415" t="s">
        <v>39</v>
      </c>
      <c r="N415" t="s">
        <v>1630</v>
      </c>
      <c r="O415" t="s">
        <v>30</v>
      </c>
      <c r="P415" t="s">
        <v>31</v>
      </c>
      <c r="Q415" t="s">
        <v>802</v>
      </c>
      <c r="R415" s="2">
        <v>368.19</v>
      </c>
      <c r="S415">
        <v>3</v>
      </c>
      <c r="T415" s="3">
        <v>0.1</v>
      </c>
      <c r="U415" s="2">
        <v>40.44</v>
      </c>
    </row>
    <row r="416" spans="1:21" x14ac:dyDescent="0.35">
      <c r="A416">
        <v>104</v>
      </c>
      <c r="B416" t="s">
        <v>1631</v>
      </c>
      <c r="C416" s="1">
        <v>45337</v>
      </c>
      <c r="D416" s="1">
        <v>45342</v>
      </c>
      <c r="E416" t="s">
        <v>34</v>
      </c>
      <c r="F416" t="s">
        <v>1632</v>
      </c>
      <c r="G416" t="s">
        <v>998</v>
      </c>
      <c r="H416" t="s">
        <v>25</v>
      </c>
      <c r="I416" t="s">
        <v>26</v>
      </c>
      <c r="J416" t="s">
        <v>71</v>
      </c>
      <c r="K416" t="s">
        <v>71</v>
      </c>
      <c r="L416">
        <v>10207</v>
      </c>
      <c r="M416" t="s">
        <v>56</v>
      </c>
      <c r="N416" t="s">
        <v>1633</v>
      </c>
      <c r="O416" t="s">
        <v>41</v>
      </c>
      <c r="P416" t="s">
        <v>73</v>
      </c>
      <c r="Q416" t="s">
        <v>1634</v>
      </c>
      <c r="R416" s="2">
        <v>180.45</v>
      </c>
      <c r="S416">
        <v>6</v>
      </c>
      <c r="T416" s="3">
        <v>0.15</v>
      </c>
      <c r="U416" s="2">
        <v>25.51</v>
      </c>
    </row>
    <row r="417" spans="1:21" x14ac:dyDescent="0.35">
      <c r="A417">
        <v>409</v>
      </c>
      <c r="B417" t="s">
        <v>1635</v>
      </c>
      <c r="C417" s="1">
        <v>45339</v>
      </c>
      <c r="D417" s="1">
        <v>45343</v>
      </c>
      <c r="E417" t="s">
        <v>34</v>
      </c>
      <c r="F417" t="s">
        <v>1636</v>
      </c>
      <c r="G417" t="s">
        <v>180</v>
      </c>
      <c r="H417" t="s">
        <v>25</v>
      </c>
      <c r="I417" t="s">
        <v>26</v>
      </c>
      <c r="J417" t="s">
        <v>193</v>
      </c>
      <c r="K417" t="s">
        <v>193</v>
      </c>
      <c r="L417">
        <v>79795</v>
      </c>
      <c r="M417" t="s">
        <v>39</v>
      </c>
      <c r="N417" t="s">
        <v>1637</v>
      </c>
      <c r="O417" t="s">
        <v>41</v>
      </c>
      <c r="P417" t="s">
        <v>170</v>
      </c>
      <c r="Q417" t="s">
        <v>1638</v>
      </c>
      <c r="R417" s="2">
        <v>20.89</v>
      </c>
      <c r="S417">
        <v>2</v>
      </c>
      <c r="T417" s="3">
        <v>0</v>
      </c>
      <c r="U417" s="2">
        <v>5.34</v>
      </c>
    </row>
    <row r="418" spans="1:21" x14ac:dyDescent="0.35">
      <c r="A418">
        <v>53</v>
      </c>
      <c r="B418" t="s">
        <v>1639</v>
      </c>
      <c r="C418" s="1">
        <v>45340</v>
      </c>
      <c r="D418" s="1">
        <v>45343</v>
      </c>
      <c r="E418" t="s">
        <v>34</v>
      </c>
      <c r="F418" t="s">
        <v>1640</v>
      </c>
      <c r="G418" t="s">
        <v>248</v>
      </c>
      <c r="H418" t="s">
        <v>54</v>
      </c>
      <c r="I418" t="s">
        <v>26</v>
      </c>
      <c r="J418" t="s">
        <v>55</v>
      </c>
      <c r="K418" t="s">
        <v>55</v>
      </c>
      <c r="L418">
        <v>67545</v>
      </c>
      <c r="M418" t="s">
        <v>56</v>
      </c>
      <c r="N418" t="s">
        <v>1641</v>
      </c>
      <c r="O418" t="s">
        <v>30</v>
      </c>
      <c r="P418" t="s">
        <v>157</v>
      </c>
      <c r="Q418" t="s">
        <v>1642</v>
      </c>
      <c r="R418" s="2">
        <v>55.16</v>
      </c>
      <c r="S418">
        <v>6</v>
      </c>
      <c r="T418" s="3">
        <v>0.15</v>
      </c>
      <c r="U418" s="2">
        <v>-0.75</v>
      </c>
    </row>
    <row r="419" spans="1:21" x14ac:dyDescent="0.35">
      <c r="A419">
        <v>6</v>
      </c>
      <c r="B419" t="s">
        <v>1643</v>
      </c>
      <c r="C419" s="1">
        <v>45341</v>
      </c>
      <c r="D419" s="1">
        <v>45344</v>
      </c>
      <c r="E419" t="s">
        <v>45</v>
      </c>
      <c r="F419" t="s">
        <v>1644</v>
      </c>
      <c r="G419" t="s">
        <v>773</v>
      </c>
      <c r="H419" t="s">
        <v>25</v>
      </c>
      <c r="I419" t="s">
        <v>26</v>
      </c>
      <c r="J419" t="s">
        <v>82</v>
      </c>
      <c r="K419" t="s">
        <v>82</v>
      </c>
      <c r="L419">
        <v>97897</v>
      </c>
      <c r="M419" t="s">
        <v>28</v>
      </c>
      <c r="N419" t="s">
        <v>1645</v>
      </c>
      <c r="O419" t="s">
        <v>41</v>
      </c>
      <c r="P419" t="s">
        <v>151</v>
      </c>
      <c r="Q419" t="s">
        <v>649</v>
      </c>
      <c r="R419" s="2">
        <v>128.69999999999999</v>
      </c>
      <c r="S419">
        <v>5</v>
      </c>
      <c r="T419" s="3">
        <v>0.15</v>
      </c>
      <c r="U419" s="2">
        <v>12.98</v>
      </c>
    </row>
    <row r="420" spans="1:21" x14ac:dyDescent="0.35">
      <c r="A420">
        <v>75</v>
      </c>
      <c r="B420" t="s">
        <v>1646</v>
      </c>
      <c r="C420" s="1">
        <v>45342</v>
      </c>
      <c r="D420" s="1">
        <v>45346</v>
      </c>
      <c r="E420" t="s">
        <v>45</v>
      </c>
      <c r="F420" t="s">
        <v>1647</v>
      </c>
      <c r="G420" t="s">
        <v>369</v>
      </c>
      <c r="H420" t="s">
        <v>37</v>
      </c>
      <c r="I420" t="s">
        <v>26</v>
      </c>
      <c r="J420" t="s">
        <v>122</v>
      </c>
      <c r="K420" t="s">
        <v>122</v>
      </c>
      <c r="L420">
        <v>43062</v>
      </c>
      <c r="M420" t="s">
        <v>65</v>
      </c>
      <c r="N420" t="s">
        <v>1648</v>
      </c>
      <c r="O420" t="s">
        <v>58</v>
      </c>
      <c r="P420" t="s">
        <v>89</v>
      </c>
      <c r="Q420" t="s">
        <v>408</v>
      </c>
      <c r="R420" s="2">
        <v>163.27000000000001</v>
      </c>
      <c r="S420">
        <v>7</v>
      </c>
      <c r="T420" s="3">
        <v>0</v>
      </c>
      <c r="U420" s="2">
        <v>42.04</v>
      </c>
    </row>
    <row r="421" spans="1:21" x14ac:dyDescent="0.35">
      <c r="A421">
        <v>275</v>
      </c>
      <c r="B421" t="s">
        <v>1649</v>
      </c>
      <c r="C421" s="1">
        <v>45343</v>
      </c>
      <c r="D421" s="1">
        <v>45345</v>
      </c>
      <c r="E421" t="s">
        <v>34</v>
      </c>
      <c r="F421" t="s">
        <v>1650</v>
      </c>
      <c r="G421" t="s">
        <v>63</v>
      </c>
      <c r="H421" t="s">
        <v>25</v>
      </c>
      <c r="I421" t="s">
        <v>26</v>
      </c>
      <c r="J421" t="s">
        <v>277</v>
      </c>
      <c r="K421" t="s">
        <v>277</v>
      </c>
      <c r="L421">
        <v>21350</v>
      </c>
      <c r="M421" t="s">
        <v>56</v>
      </c>
      <c r="N421" t="s">
        <v>1594</v>
      </c>
      <c r="O421" t="s">
        <v>41</v>
      </c>
      <c r="P421" t="s">
        <v>134</v>
      </c>
      <c r="Q421" t="s">
        <v>1651</v>
      </c>
      <c r="R421" s="2">
        <v>119.32</v>
      </c>
      <c r="S421">
        <v>6</v>
      </c>
      <c r="T421" s="3">
        <v>0.4</v>
      </c>
      <c r="U421" s="2">
        <v>-17.39</v>
      </c>
    </row>
    <row r="422" spans="1:21" x14ac:dyDescent="0.35">
      <c r="A422">
        <v>407</v>
      </c>
      <c r="B422" t="s">
        <v>1652</v>
      </c>
      <c r="C422" s="1">
        <v>45346</v>
      </c>
      <c r="D422" s="1">
        <v>45349</v>
      </c>
      <c r="E422" t="s">
        <v>34</v>
      </c>
      <c r="F422" t="s">
        <v>1653</v>
      </c>
      <c r="G422" t="s">
        <v>326</v>
      </c>
      <c r="H422" t="s">
        <v>25</v>
      </c>
      <c r="I422" t="s">
        <v>26</v>
      </c>
      <c r="J422" t="s">
        <v>122</v>
      </c>
      <c r="K422" t="s">
        <v>122</v>
      </c>
      <c r="L422">
        <v>38906</v>
      </c>
      <c r="M422" t="s">
        <v>65</v>
      </c>
      <c r="N422" t="s">
        <v>1654</v>
      </c>
      <c r="O422" t="s">
        <v>30</v>
      </c>
      <c r="P422" t="s">
        <v>31</v>
      </c>
      <c r="Q422" t="s">
        <v>1059</v>
      </c>
      <c r="R422" s="2">
        <v>298.13</v>
      </c>
      <c r="S422">
        <v>2</v>
      </c>
      <c r="T422" s="3">
        <v>0.1</v>
      </c>
      <c r="U422" s="2">
        <v>16.55</v>
      </c>
    </row>
    <row r="423" spans="1:21" x14ac:dyDescent="0.35">
      <c r="A423">
        <v>249</v>
      </c>
      <c r="B423" t="s">
        <v>1655</v>
      </c>
      <c r="C423" s="1">
        <v>45346</v>
      </c>
      <c r="D423" s="1">
        <v>45351</v>
      </c>
      <c r="E423" t="s">
        <v>34</v>
      </c>
      <c r="F423" t="s">
        <v>1656</v>
      </c>
      <c r="G423" t="s">
        <v>253</v>
      </c>
      <c r="H423" t="s">
        <v>25</v>
      </c>
      <c r="I423" t="s">
        <v>26</v>
      </c>
      <c r="J423" t="s">
        <v>127</v>
      </c>
      <c r="K423" t="s">
        <v>127</v>
      </c>
      <c r="L423">
        <v>20283</v>
      </c>
      <c r="M423" t="s">
        <v>56</v>
      </c>
      <c r="N423" t="s">
        <v>467</v>
      </c>
      <c r="O423" t="s">
        <v>30</v>
      </c>
      <c r="P423" t="s">
        <v>100</v>
      </c>
      <c r="Q423" t="s">
        <v>568</v>
      </c>
      <c r="R423" s="2">
        <v>88.13</v>
      </c>
      <c r="S423">
        <v>3</v>
      </c>
      <c r="T423" s="3">
        <v>0</v>
      </c>
      <c r="U423" s="2">
        <v>18.260000000000002</v>
      </c>
    </row>
    <row r="424" spans="1:21" x14ac:dyDescent="0.35">
      <c r="A424">
        <v>21</v>
      </c>
      <c r="B424" t="s">
        <v>1657</v>
      </c>
      <c r="C424" s="1">
        <v>45352</v>
      </c>
      <c r="D424" s="1">
        <v>45355</v>
      </c>
      <c r="E424" t="s">
        <v>34</v>
      </c>
      <c r="F424" t="s">
        <v>1658</v>
      </c>
      <c r="G424" t="s">
        <v>167</v>
      </c>
      <c r="H424" t="s">
        <v>54</v>
      </c>
      <c r="I424" t="s">
        <v>26</v>
      </c>
      <c r="J424" t="s">
        <v>331</v>
      </c>
      <c r="K424" t="s">
        <v>331</v>
      </c>
      <c r="L424">
        <v>69638</v>
      </c>
      <c r="M424" t="s">
        <v>28</v>
      </c>
      <c r="N424" t="s">
        <v>1659</v>
      </c>
      <c r="O424" t="s">
        <v>41</v>
      </c>
      <c r="P424" t="s">
        <v>106</v>
      </c>
      <c r="Q424" t="s">
        <v>654</v>
      </c>
      <c r="R424" s="2">
        <v>42.71</v>
      </c>
      <c r="S424">
        <v>5</v>
      </c>
      <c r="T424" s="3">
        <v>0.2</v>
      </c>
      <c r="U424" s="2">
        <v>6.88</v>
      </c>
    </row>
    <row r="425" spans="1:21" x14ac:dyDescent="0.35">
      <c r="A425">
        <v>63</v>
      </c>
      <c r="B425" t="s">
        <v>1660</v>
      </c>
      <c r="C425" s="1">
        <v>45355</v>
      </c>
      <c r="D425" s="1">
        <v>45356</v>
      </c>
      <c r="E425" t="s">
        <v>45</v>
      </c>
      <c r="F425" t="s">
        <v>1661</v>
      </c>
      <c r="G425" t="s">
        <v>1081</v>
      </c>
      <c r="H425" t="s">
        <v>54</v>
      </c>
      <c r="I425" t="s">
        <v>26</v>
      </c>
      <c r="J425" t="s">
        <v>204</v>
      </c>
      <c r="K425" t="s">
        <v>204</v>
      </c>
      <c r="L425">
        <v>84478</v>
      </c>
      <c r="M425" t="s">
        <v>39</v>
      </c>
      <c r="N425" t="s">
        <v>1662</v>
      </c>
      <c r="O425" t="s">
        <v>30</v>
      </c>
      <c r="P425" t="s">
        <v>100</v>
      </c>
      <c r="Q425" t="s">
        <v>1441</v>
      </c>
      <c r="R425" s="2">
        <v>137.34</v>
      </c>
      <c r="S425">
        <v>6</v>
      </c>
      <c r="T425" s="3">
        <v>0.2</v>
      </c>
      <c r="U425" s="2">
        <v>2.74</v>
      </c>
    </row>
    <row r="426" spans="1:21" x14ac:dyDescent="0.35">
      <c r="A426">
        <v>503</v>
      </c>
      <c r="B426" t="s">
        <v>1663</v>
      </c>
      <c r="C426" s="1">
        <v>45359</v>
      </c>
      <c r="D426" s="1">
        <v>45362</v>
      </c>
      <c r="E426" t="s">
        <v>45</v>
      </c>
      <c r="F426" t="s">
        <v>1664</v>
      </c>
      <c r="G426" t="s">
        <v>681</v>
      </c>
      <c r="H426" t="s">
        <v>25</v>
      </c>
      <c r="I426" t="s">
        <v>26</v>
      </c>
      <c r="J426" t="s">
        <v>193</v>
      </c>
      <c r="K426" t="s">
        <v>193</v>
      </c>
      <c r="L426">
        <v>65184</v>
      </c>
      <c r="M426" t="s">
        <v>39</v>
      </c>
      <c r="N426" t="s">
        <v>1665</v>
      </c>
      <c r="O426" t="s">
        <v>30</v>
      </c>
      <c r="P426" t="s">
        <v>31</v>
      </c>
      <c r="Q426" t="s">
        <v>1666</v>
      </c>
      <c r="R426" s="2">
        <v>37.549999999999997</v>
      </c>
      <c r="S426">
        <v>4</v>
      </c>
      <c r="T426" s="3">
        <v>0.2</v>
      </c>
      <c r="U426" s="2">
        <v>-0.82</v>
      </c>
    </row>
    <row r="427" spans="1:21" x14ac:dyDescent="0.35">
      <c r="A427">
        <v>435</v>
      </c>
      <c r="B427" t="s">
        <v>1667</v>
      </c>
      <c r="C427" s="1">
        <v>45359</v>
      </c>
      <c r="D427" s="1">
        <v>45362</v>
      </c>
      <c r="E427" t="s">
        <v>34</v>
      </c>
      <c r="F427" t="s">
        <v>1668</v>
      </c>
      <c r="G427" t="s">
        <v>316</v>
      </c>
      <c r="H427" t="s">
        <v>25</v>
      </c>
      <c r="I427" t="s">
        <v>26</v>
      </c>
      <c r="J427" t="s">
        <v>168</v>
      </c>
      <c r="K427" t="s">
        <v>168</v>
      </c>
      <c r="L427">
        <v>66866</v>
      </c>
      <c r="M427" t="s">
        <v>28</v>
      </c>
      <c r="N427" t="s">
        <v>1669</v>
      </c>
      <c r="O427" t="s">
        <v>30</v>
      </c>
      <c r="P427" t="s">
        <v>31</v>
      </c>
      <c r="Q427" t="s">
        <v>294</v>
      </c>
      <c r="R427" s="2">
        <v>339.96</v>
      </c>
      <c r="S427">
        <v>1</v>
      </c>
      <c r="T427" s="3">
        <v>0.05</v>
      </c>
      <c r="U427" s="2">
        <v>37.72</v>
      </c>
    </row>
    <row r="428" spans="1:21" x14ac:dyDescent="0.35">
      <c r="A428">
        <v>220</v>
      </c>
      <c r="B428" t="s">
        <v>1670</v>
      </c>
      <c r="C428" s="1">
        <v>45360</v>
      </c>
      <c r="D428" s="1">
        <v>45364</v>
      </c>
      <c r="E428" t="s">
        <v>34</v>
      </c>
      <c r="F428" t="s">
        <v>1671</v>
      </c>
      <c r="G428" t="s">
        <v>1383</v>
      </c>
      <c r="H428" t="s">
        <v>25</v>
      </c>
      <c r="I428" t="s">
        <v>26</v>
      </c>
      <c r="J428" t="s">
        <v>122</v>
      </c>
      <c r="K428" t="s">
        <v>122</v>
      </c>
      <c r="L428">
        <v>42933</v>
      </c>
      <c r="M428" t="s">
        <v>65</v>
      </c>
      <c r="N428" t="s">
        <v>1672</v>
      </c>
      <c r="O428" t="s">
        <v>58</v>
      </c>
      <c r="P428" t="s">
        <v>59</v>
      </c>
      <c r="Q428" t="s">
        <v>1673</v>
      </c>
      <c r="R428" s="2">
        <v>401.55</v>
      </c>
      <c r="S428">
        <v>3</v>
      </c>
      <c r="T428" s="3">
        <v>0</v>
      </c>
      <c r="U428" s="2">
        <v>140.41</v>
      </c>
    </row>
    <row r="429" spans="1:21" x14ac:dyDescent="0.35">
      <c r="A429">
        <v>94</v>
      </c>
      <c r="B429" t="s">
        <v>1674</v>
      </c>
      <c r="C429" s="1">
        <v>45362</v>
      </c>
      <c r="D429" s="1">
        <v>45365</v>
      </c>
      <c r="E429" t="s">
        <v>34</v>
      </c>
      <c r="F429" t="s">
        <v>1675</v>
      </c>
      <c r="G429" t="s">
        <v>392</v>
      </c>
      <c r="H429" t="s">
        <v>37</v>
      </c>
      <c r="I429" t="s">
        <v>26</v>
      </c>
      <c r="J429" t="s">
        <v>38</v>
      </c>
      <c r="K429" t="s">
        <v>38</v>
      </c>
      <c r="L429">
        <v>95150</v>
      </c>
      <c r="M429" t="s">
        <v>39</v>
      </c>
      <c r="N429" t="s">
        <v>1676</v>
      </c>
      <c r="O429" t="s">
        <v>41</v>
      </c>
      <c r="P429" t="s">
        <v>42</v>
      </c>
      <c r="Q429" t="s">
        <v>1677</v>
      </c>
      <c r="R429" s="2">
        <v>80.790000000000006</v>
      </c>
      <c r="S429">
        <v>1</v>
      </c>
      <c r="T429" s="3">
        <v>0.1</v>
      </c>
      <c r="U429" s="2">
        <v>6.46</v>
      </c>
    </row>
    <row r="430" spans="1:21" x14ac:dyDescent="0.35">
      <c r="A430">
        <v>23</v>
      </c>
      <c r="B430" t="s">
        <v>1678</v>
      </c>
      <c r="C430" s="1">
        <v>45363</v>
      </c>
      <c r="D430" s="1">
        <v>45365</v>
      </c>
      <c r="E430" t="s">
        <v>34</v>
      </c>
      <c r="F430" t="s">
        <v>1679</v>
      </c>
      <c r="G430" t="s">
        <v>1199</v>
      </c>
      <c r="H430" t="s">
        <v>25</v>
      </c>
      <c r="I430" t="s">
        <v>26</v>
      </c>
      <c r="J430" t="s">
        <v>277</v>
      </c>
      <c r="K430" t="s">
        <v>277</v>
      </c>
      <c r="L430">
        <v>82369</v>
      </c>
      <c r="M430" t="s">
        <v>56</v>
      </c>
      <c r="N430" t="s">
        <v>1654</v>
      </c>
      <c r="O430" t="s">
        <v>41</v>
      </c>
      <c r="P430" t="s">
        <v>106</v>
      </c>
      <c r="Q430" t="s">
        <v>1547</v>
      </c>
      <c r="R430" s="2">
        <v>130.79</v>
      </c>
      <c r="S430">
        <v>7</v>
      </c>
      <c r="T430" s="3">
        <v>0.4</v>
      </c>
      <c r="U430" s="2">
        <v>-6.48</v>
      </c>
    </row>
    <row r="431" spans="1:21" x14ac:dyDescent="0.35">
      <c r="A431">
        <v>198</v>
      </c>
      <c r="B431" t="s">
        <v>1680</v>
      </c>
      <c r="C431" s="1">
        <v>45363</v>
      </c>
      <c r="D431" s="1">
        <v>45367</v>
      </c>
      <c r="E431" t="s">
        <v>45</v>
      </c>
      <c r="F431" t="s">
        <v>1681</v>
      </c>
      <c r="G431" t="s">
        <v>1682</v>
      </c>
      <c r="H431" t="s">
        <v>25</v>
      </c>
      <c r="I431" t="s">
        <v>26</v>
      </c>
      <c r="J431" t="s">
        <v>55</v>
      </c>
      <c r="K431" t="s">
        <v>55</v>
      </c>
      <c r="L431">
        <v>94381</v>
      </c>
      <c r="M431" t="s">
        <v>56</v>
      </c>
      <c r="N431" t="s">
        <v>1683</v>
      </c>
      <c r="O431" t="s">
        <v>30</v>
      </c>
      <c r="P431" t="s">
        <v>157</v>
      </c>
      <c r="Q431" t="s">
        <v>1684</v>
      </c>
      <c r="R431" s="2">
        <v>90.57</v>
      </c>
      <c r="S431">
        <v>3</v>
      </c>
      <c r="T431" s="3">
        <v>0.2</v>
      </c>
      <c r="U431" s="2">
        <v>1.39</v>
      </c>
    </row>
    <row r="432" spans="1:21" x14ac:dyDescent="0.35">
      <c r="A432">
        <v>258</v>
      </c>
      <c r="B432" t="s">
        <v>1685</v>
      </c>
      <c r="C432" s="1">
        <v>45365</v>
      </c>
      <c r="D432" s="1">
        <v>45368</v>
      </c>
      <c r="E432" t="s">
        <v>34</v>
      </c>
      <c r="F432" t="s">
        <v>1686</v>
      </c>
      <c r="G432" t="s">
        <v>477</v>
      </c>
      <c r="H432" t="s">
        <v>25</v>
      </c>
      <c r="I432" t="s">
        <v>26</v>
      </c>
      <c r="J432" t="s">
        <v>181</v>
      </c>
      <c r="K432" t="s">
        <v>181</v>
      </c>
      <c r="L432">
        <v>22748</v>
      </c>
      <c r="M432" t="s">
        <v>65</v>
      </c>
      <c r="N432" t="s">
        <v>1633</v>
      </c>
      <c r="O432" t="s">
        <v>41</v>
      </c>
      <c r="P432" t="s">
        <v>42</v>
      </c>
      <c r="Q432" t="s">
        <v>189</v>
      </c>
      <c r="R432" s="2">
        <v>24.78</v>
      </c>
      <c r="S432">
        <v>4</v>
      </c>
      <c r="T432" s="3">
        <v>0.15</v>
      </c>
      <c r="U432" s="2">
        <v>1.1299999999999999</v>
      </c>
    </row>
    <row r="433" spans="1:21" x14ac:dyDescent="0.35">
      <c r="A433">
        <v>68</v>
      </c>
      <c r="B433" t="s">
        <v>1687</v>
      </c>
      <c r="C433" s="1">
        <v>45366</v>
      </c>
      <c r="D433" s="1">
        <v>45369</v>
      </c>
      <c r="E433" t="s">
        <v>45</v>
      </c>
      <c r="F433" t="s">
        <v>1688</v>
      </c>
      <c r="G433" t="s">
        <v>192</v>
      </c>
      <c r="H433" t="s">
        <v>37</v>
      </c>
      <c r="I433" t="s">
        <v>26</v>
      </c>
      <c r="J433" t="s">
        <v>472</v>
      </c>
      <c r="K433" t="s">
        <v>472</v>
      </c>
      <c r="L433">
        <v>39430</v>
      </c>
      <c r="M433" t="s">
        <v>56</v>
      </c>
      <c r="N433" t="s">
        <v>1689</v>
      </c>
      <c r="O433" t="s">
        <v>41</v>
      </c>
      <c r="P433" t="s">
        <v>73</v>
      </c>
      <c r="Q433" t="s">
        <v>366</v>
      </c>
      <c r="R433" s="2">
        <v>36.979999999999997</v>
      </c>
      <c r="S433">
        <v>5</v>
      </c>
      <c r="T433" s="3">
        <v>0.2</v>
      </c>
      <c r="U433" s="2">
        <v>4.88</v>
      </c>
    </row>
    <row r="434" spans="1:21" x14ac:dyDescent="0.35">
      <c r="A434">
        <v>225</v>
      </c>
      <c r="B434" t="s">
        <v>1690</v>
      </c>
      <c r="C434" s="1">
        <v>45366</v>
      </c>
      <c r="D434" s="1">
        <v>45370</v>
      </c>
      <c r="E434" t="s">
        <v>34</v>
      </c>
      <c r="F434" t="s">
        <v>1691</v>
      </c>
      <c r="G434" t="s">
        <v>608</v>
      </c>
      <c r="H434" t="s">
        <v>37</v>
      </c>
      <c r="I434" t="s">
        <v>26</v>
      </c>
      <c r="J434" t="s">
        <v>127</v>
      </c>
      <c r="K434" t="s">
        <v>127</v>
      </c>
      <c r="L434">
        <v>35517</v>
      </c>
      <c r="M434" t="s">
        <v>56</v>
      </c>
      <c r="N434" t="s">
        <v>900</v>
      </c>
      <c r="O434" t="s">
        <v>58</v>
      </c>
      <c r="P434" t="s">
        <v>112</v>
      </c>
      <c r="Q434" t="s">
        <v>841</v>
      </c>
      <c r="R434" s="2">
        <v>151.02000000000001</v>
      </c>
      <c r="S434">
        <v>5</v>
      </c>
      <c r="T434" s="3">
        <v>0.15</v>
      </c>
      <c r="U434" s="2">
        <v>27.38</v>
      </c>
    </row>
    <row r="435" spans="1:21" x14ac:dyDescent="0.35">
      <c r="A435">
        <v>42</v>
      </c>
      <c r="B435" t="s">
        <v>1692</v>
      </c>
      <c r="C435" s="1">
        <v>45367</v>
      </c>
      <c r="D435" s="1">
        <v>45370</v>
      </c>
      <c r="E435" t="s">
        <v>34</v>
      </c>
      <c r="F435" t="s">
        <v>1693</v>
      </c>
      <c r="G435" t="s">
        <v>765</v>
      </c>
      <c r="H435" t="s">
        <v>25</v>
      </c>
      <c r="I435" t="s">
        <v>26</v>
      </c>
      <c r="J435" t="s">
        <v>48</v>
      </c>
      <c r="K435" t="s">
        <v>48</v>
      </c>
      <c r="L435">
        <v>36734</v>
      </c>
      <c r="M435" t="s">
        <v>39</v>
      </c>
      <c r="N435" t="s">
        <v>1379</v>
      </c>
      <c r="O435" t="s">
        <v>30</v>
      </c>
      <c r="P435" t="s">
        <v>176</v>
      </c>
      <c r="Q435" t="s">
        <v>328</v>
      </c>
      <c r="R435" s="2">
        <v>64.459999999999994</v>
      </c>
      <c r="S435">
        <v>6</v>
      </c>
      <c r="T435" s="3">
        <v>0.1</v>
      </c>
      <c r="U435" s="2">
        <v>9.41</v>
      </c>
    </row>
    <row r="436" spans="1:21" x14ac:dyDescent="0.35">
      <c r="A436">
        <v>553</v>
      </c>
      <c r="B436" t="s">
        <v>1694</v>
      </c>
      <c r="C436" s="1">
        <v>45374</v>
      </c>
      <c r="D436" s="1">
        <v>45377</v>
      </c>
      <c r="E436" t="s">
        <v>45</v>
      </c>
      <c r="F436" t="s">
        <v>1695</v>
      </c>
      <c r="G436" t="s">
        <v>1207</v>
      </c>
      <c r="H436" t="s">
        <v>37</v>
      </c>
      <c r="I436" t="s">
        <v>26</v>
      </c>
      <c r="J436" t="s">
        <v>181</v>
      </c>
      <c r="K436" t="s">
        <v>181</v>
      </c>
      <c r="L436">
        <v>96120</v>
      </c>
      <c r="M436" t="s">
        <v>65</v>
      </c>
      <c r="N436" t="s">
        <v>635</v>
      </c>
      <c r="O436" t="s">
        <v>30</v>
      </c>
      <c r="P436" t="s">
        <v>31</v>
      </c>
      <c r="Q436" t="s">
        <v>1696</v>
      </c>
      <c r="R436" s="2">
        <v>428.25</v>
      </c>
      <c r="S436">
        <v>4</v>
      </c>
      <c r="T436" s="3">
        <v>0.15</v>
      </c>
      <c r="U436" s="2">
        <v>30.68</v>
      </c>
    </row>
    <row r="437" spans="1:21" x14ac:dyDescent="0.35">
      <c r="A437">
        <v>286</v>
      </c>
      <c r="B437" t="s">
        <v>1697</v>
      </c>
      <c r="C437" s="1">
        <v>45374</v>
      </c>
      <c r="D437" s="1">
        <v>45377</v>
      </c>
      <c r="E437" t="s">
        <v>34</v>
      </c>
      <c r="F437" t="s">
        <v>1698</v>
      </c>
      <c r="G437" t="s">
        <v>496</v>
      </c>
      <c r="H437" t="s">
        <v>25</v>
      </c>
      <c r="I437" t="s">
        <v>26</v>
      </c>
      <c r="J437" t="s">
        <v>204</v>
      </c>
      <c r="K437" t="s">
        <v>204</v>
      </c>
      <c r="L437">
        <v>16869</v>
      </c>
      <c r="M437" t="s">
        <v>39</v>
      </c>
      <c r="N437" t="s">
        <v>169</v>
      </c>
      <c r="O437" t="s">
        <v>58</v>
      </c>
      <c r="P437" t="s">
        <v>59</v>
      </c>
      <c r="Q437" t="s">
        <v>664</v>
      </c>
      <c r="R437" s="2">
        <v>151.13999999999999</v>
      </c>
      <c r="S437">
        <v>6</v>
      </c>
      <c r="T437" s="3">
        <v>0.3</v>
      </c>
      <c r="U437" s="2">
        <v>10.71</v>
      </c>
    </row>
    <row r="438" spans="1:21" x14ac:dyDescent="0.35">
      <c r="A438">
        <v>399</v>
      </c>
      <c r="B438" t="s">
        <v>1699</v>
      </c>
      <c r="C438" s="1">
        <v>45379</v>
      </c>
      <c r="D438" s="1">
        <v>45383</v>
      </c>
      <c r="E438" t="s">
        <v>34</v>
      </c>
      <c r="F438" t="s">
        <v>1700</v>
      </c>
      <c r="G438" t="s">
        <v>1362</v>
      </c>
      <c r="H438" t="s">
        <v>25</v>
      </c>
      <c r="I438" t="s">
        <v>26</v>
      </c>
      <c r="J438" t="s">
        <v>64</v>
      </c>
      <c r="K438" t="s">
        <v>64</v>
      </c>
      <c r="L438">
        <v>12765</v>
      </c>
      <c r="M438" t="s">
        <v>65</v>
      </c>
      <c r="N438" t="s">
        <v>1701</v>
      </c>
      <c r="O438" t="s">
        <v>30</v>
      </c>
      <c r="P438" t="s">
        <v>157</v>
      </c>
      <c r="Q438" t="s">
        <v>1169</v>
      </c>
      <c r="R438" s="2">
        <v>203.88</v>
      </c>
      <c r="S438">
        <v>2</v>
      </c>
      <c r="T438" s="3">
        <v>0.1</v>
      </c>
      <c r="U438" s="2">
        <v>6.26</v>
      </c>
    </row>
    <row r="439" spans="1:21" x14ac:dyDescent="0.35">
      <c r="A439">
        <v>168</v>
      </c>
      <c r="B439" t="s">
        <v>1702</v>
      </c>
      <c r="C439" s="1">
        <v>45379</v>
      </c>
      <c r="D439" s="1">
        <v>45382</v>
      </c>
      <c r="E439" t="s">
        <v>22</v>
      </c>
      <c r="F439" t="s">
        <v>1703</v>
      </c>
      <c r="G439" t="s">
        <v>434</v>
      </c>
      <c r="H439" t="s">
        <v>25</v>
      </c>
      <c r="I439" t="s">
        <v>26</v>
      </c>
      <c r="J439" t="s">
        <v>55</v>
      </c>
      <c r="K439" t="s">
        <v>55</v>
      </c>
      <c r="L439">
        <v>58695</v>
      </c>
      <c r="M439" t="s">
        <v>56</v>
      </c>
      <c r="N439" t="s">
        <v>1704</v>
      </c>
      <c r="O439" t="s">
        <v>30</v>
      </c>
      <c r="P439" t="s">
        <v>31</v>
      </c>
      <c r="Q439" t="s">
        <v>1705</v>
      </c>
      <c r="R439" s="2">
        <v>153.19</v>
      </c>
      <c r="S439">
        <v>3</v>
      </c>
      <c r="T439" s="3">
        <v>0.15</v>
      </c>
      <c r="U439" s="2">
        <v>11.01</v>
      </c>
    </row>
    <row r="440" spans="1:21" x14ac:dyDescent="0.35">
      <c r="A440">
        <v>497</v>
      </c>
      <c r="B440" t="s">
        <v>1706</v>
      </c>
      <c r="C440" s="1">
        <v>45383</v>
      </c>
      <c r="D440" s="1">
        <v>45386</v>
      </c>
      <c r="E440" t="s">
        <v>34</v>
      </c>
      <c r="F440" t="s">
        <v>1707</v>
      </c>
      <c r="G440" t="s">
        <v>888</v>
      </c>
      <c r="H440" t="s">
        <v>37</v>
      </c>
      <c r="I440" t="s">
        <v>26</v>
      </c>
      <c r="J440" t="s">
        <v>187</v>
      </c>
      <c r="K440" t="s">
        <v>187</v>
      </c>
      <c r="L440">
        <v>74182</v>
      </c>
      <c r="M440" t="s">
        <v>39</v>
      </c>
      <c r="N440" t="s">
        <v>1708</v>
      </c>
      <c r="O440" t="s">
        <v>58</v>
      </c>
      <c r="P440" t="s">
        <v>307</v>
      </c>
      <c r="Q440" t="s">
        <v>1709</v>
      </c>
      <c r="R440" s="2">
        <v>224.33</v>
      </c>
      <c r="S440">
        <v>6</v>
      </c>
      <c r="T440" s="3">
        <v>0.15</v>
      </c>
      <c r="U440" s="2">
        <v>35.020000000000003</v>
      </c>
    </row>
    <row r="441" spans="1:21" x14ac:dyDescent="0.35">
      <c r="A441">
        <v>31</v>
      </c>
      <c r="B441" t="s">
        <v>1710</v>
      </c>
      <c r="C441" s="1">
        <v>45385</v>
      </c>
      <c r="D441" s="1">
        <v>45388</v>
      </c>
      <c r="E441" t="s">
        <v>34</v>
      </c>
      <c r="F441" t="s">
        <v>1711</v>
      </c>
      <c r="G441" t="s">
        <v>203</v>
      </c>
      <c r="H441" t="s">
        <v>54</v>
      </c>
      <c r="I441" t="s">
        <v>26</v>
      </c>
      <c r="J441" t="s">
        <v>122</v>
      </c>
      <c r="K441" t="s">
        <v>122</v>
      </c>
      <c r="L441">
        <v>48413</v>
      </c>
      <c r="M441" t="s">
        <v>65</v>
      </c>
      <c r="N441" t="s">
        <v>1712</v>
      </c>
      <c r="O441" t="s">
        <v>58</v>
      </c>
      <c r="P441" t="s">
        <v>89</v>
      </c>
      <c r="Q441" t="s">
        <v>1713</v>
      </c>
      <c r="R441" s="2">
        <v>108.89</v>
      </c>
      <c r="S441">
        <v>5</v>
      </c>
      <c r="T441" s="3">
        <v>0.5</v>
      </c>
      <c r="U441" s="2">
        <v>-8.23</v>
      </c>
    </row>
    <row r="442" spans="1:21" x14ac:dyDescent="0.35">
      <c r="A442">
        <v>305</v>
      </c>
      <c r="B442" t="s">
        <v>1714</v>
      </c>
      <c r="C442" s="1">
        <v>45393</v>
      </c>
      <c r="D442" s="1">
        <v>45395</v>
      </c>
      <c r="E442" t="s">
        <v>22</v>
      </c>
      <c r="F442" t="s">
        <v>1715</v>
      </c>
      <c r="G442" t="s">
        <v>613</v>
      </c>
      <c r="H442" t="s">
        <v>37</v>
      </c>
      <c r="I442" t="s">
        <v>26</v>
      </c>
      <c r="J442" t="s">
        <v>55</v>
      </c>
      <c r="K442" t="s">
        <v>55</v>
      </c>
      <c r="L442">
        <v>20400</v>
      </c>
      <c r="M442" t="s">
        <v>56</v>
      </c>
      <c r="N442" t="s">
        <v>1716</v>
      </c>
      <c r="O442" t="s">
        <v>30</v>
      </c>
      <c r="P442" t="s">
        <v>157</v>
      </c>
      <c r="Q442" t="s">
        <v>1281</v>
      </c>
      <c r="R442" s="2">
        <v>255.84</v>
      </c>
      <c r="S442">
        <v>5</v>
      </c>
      <c r="T442" s="3">
        <v>0.1</v>
      </c>
      <c r="U442" s="2">
        <v>14.14</v>
      </c>
    </row>
    <row r="443" spans="1:21" x14ac:dyDescent="0.35">
      <c r="A443">
        <v>155</v>
      </c>
      <c r="B443" t="s">
        <v>1717</v>
      </c>
      <c r="C443" s="1">
        <v>45394</v>
      </c>
      <c r="D443" s="1">
        <v>45396</v>
      </c>
      <c r="E443" t="s">
        <v>290</v>
      </c>
      <c r="F443" t="s">
        <v>1718</v>
      </c>
      <c r="G443" t="s">
        <v>613</v>
      </c>
      <c r="H443" t="s">
        <v>25</v>
      </c>
      <c r="I443" t="s">
        <v>26</v>
      </c>
      <c r="J443" t="s">
        <v>64</v>
      </c>
      <c r="K443" t="s">
        <v>64</v>
      </c>
      <c r="L443">
        <v>63161</v>
      </c>
      <c r="M443" t="s">
        <v>65</v>
      </c>
      <c r="N443" t="s">
        <v>1719</v>
      </c>
      <c r="O443" t="s">
        <v>30</v>
      </c>
      <c r="P443" t="s">
        <v>31</v>
      </c>
      <c r="Q443" t="s">
        <v>1720</v>
      </c>
      <c r="R443" s="2">
        <v>52.66</v>
      </c>
      <c r="S443">
        <v>4</v>
      </c>
      <c r="T443" s="3">
        <v>0</v>
      </c>
      <c r="U443" s="2">
        <v>5.55</v>
      </c>
    </row>
    <row r="444" spans="1:21" x14ac:dyDescent="0.35">
      <c r="A444">
        <v>330</v>
      </c>
      <c r="B444" t="s">
        <v>1721</v>
      </c>
      <c r="C444" s="1">
        <v>45394</v>
      </c>
      <c r="D444" s="1">
        <v>45396</v>
      </c>
      <c r="E444" t="s">
        <v>34</v>
      </c>
      <c r="F444" t="s">
        <v>1722</v>
      </c>
      <c r="G444" t="s">
        <v>634</v>
      </c>
      <c r="H444" t="s">
        <v>25</v>
      </c>
      <c r="I444" t="s">
        <v>26</v>
      </c>
      <c r="J444" t="s">
        <v>71</v>
      </c>
      <c r="K444" t="s">
        <v>71</v>
      </c>
      <c r="L444">
        <v>70289</v>
      </c>
      <c r="M444" t="s">
        <v>56</v>
      </c>
      <c r="N444" t="s">
        <v>350</v>
      </c>
      <c r="O444" t="s">
        <v>30</v>
      </c>
      <c r="P444" t="s">
        <v>100</v>
      </c>
      <c r="Q444" t="s">
        <v>1723</v>
      </c>
      <c r="R444" s="2">
        <v>262.43</v>
      </c>
      <c r="S444">
        <v>5</v>
      </c>
      <c r="T444" s="3">
        <v>0.1</v>
      </c>
      <c r="U444" s="2">
        <v>27.23</v>
      </c>
    </row>
    <row r="445" spans="1:21" x14ac:dyDescent="0.35">
      <c r="A445">
        <v>154</v>
      </c>
      <c r="B445" t="s">
        <v>1724</v>
      </c>
      <c r="C445" s="1">
        <v>45394</v>
      </c>
      <c r="D445" s="1">
        <v>45397</v>
      </c>
      <c r="E445" t="s">
        <v>45</v>
      </c>
      <c r="F445" t="s">
        <v>997</v>
      </c>
      <c r="G445" t="s">
        <v>1325</v>
      </c>
      <c r="H445" t="s">
        <v>37</v>
      </c>
      <c r="I445" t="s">
        <v>26</v>
      </c>
      <c r="J445" t="s">
        <v>82</v>
      </c>
      <c r="K445" t="s">
        <v>82</v>
      </c>
      <c r="L445">
        <v>10929</v>
      </c>
      <c r="M445" t="s">
        <v>28</v>
      </c>
      <c r="N445" t="s">
        <v>1725</v>
      </c>
      <c r="O445" t="s">
        <v>41</v>
      </c>
      <c r="P445" t="s">
        <v>106</v>
      </c>
      <c r="Q445" t="s">
        <v>1726</v>
      </c>
      <c r="R445" s="2">
        <v>162.83000000000001</v>
      </c>
      <c r="S445">
        <v>3</v>
      </c>
      <c r="T445" s="3">
        <v>0.1</v>
      </c>
      <c r="U445" s="2">
        <v>30.93</v>
      </c>
    </row>
    <row r="446" spans="1:21" x14ac:dyDescent="0.35">
      <c r="A446">
        <v>436</v>
      </c>
      <c r="B446" t="s">
        <v>1727</v>
      </c>
      <c r="C446" s="1">
        <v>45394</v>
      </c>
      <c r="D446" s="1">
        <v>45399</v>
      </c>
      <c r="E446" t="s">
        <v>45</v>
      </c>
      <c r="F446" t="s">
        <v>1728</v>
      </c>
      <c r="G446" t="s">
        <v>788</v>
      </c>
      <c r="H446" t="s">
        <v>54</v>
      </c>
      <c r="I446" t="s">
        <v>26</v>
      </c>
      <c r="J446" t="s">
        <v>181</v>
      </c>
      <c r="K446" t="s">
        <v>181</v>
      </c>
      <c r="L446">
        <v>61259</v>
      </c>
      <c r="M446" t="s">
        <v>65</v>
      </c>
      <c r="N446" t="s">
        <v>1729</v>
      </c>
      <c r="O446" t="s">
        <v>30</v>
      </c>
      <c r="P446" t="s">
        <v>176</v>
      </c>
      <c r="Q446" t="s">
        <v>669</v>
      </c>
      <c r="R446" s="2">
        <v>291.25</v>
      </c>
      <c r="S446">
        <v>1</v>
      </c>
      <c r="T446" s="3">
        <v>0.15</v>
      </c>
      <c r="U446" s="2">
        <v>15.6</v>
      </c>
    </row>
    <row r="447" spans="1:21" x14ac:dyDescent="0.35">
      <c r="A447">
        <v>19</v>
      </c>
      <c r="B447" t="s">
        <v>1730</v>
      </c>
      <c r="C447" s="1">
        <v>45395</v>
      </c>
      <c r="D447" s="1">
        <v>45398</v>
      </c>
      <c r="E447" t="s">
        <v>290</v>
      </c>
      <c r="F447" t="s">
        <v>1731</v>
      </c>
      <c r="G447" t="s">
        <v>1444</v>
      </c>
      <c r="H447" t="s">
        <v>25</v>
      </c>
      <c r="I447" t="s">
        <v>26</v>
      </c>
      <c r="J447" t="s">
        <v>193</v>
      </c>
      <c r="K447" t="s">
        <v>193</v>
      </c>
      <c r="L447">
        <v>90135</v>
      </c>
      <c r="M447" t="s">
        <v>39</v>
      </c>
      <c r="N447" t="s">
        <v>1732</v>
      </c>
      <c r="O447" t="s">
        <v>30</v>
      </c>
      <c r="P447" t="s">
        <v>31</v>
      </c>
      <c r="Q447" t="s">
        <v>379</v>
      </c>
      <c r="R447" s="2">
        <v>321.14</v>
      </c>
      <c r="S447">
        <v>1</v>
      </c>
      <c r="T447" s="3">
        <v>0</v>
      </c>
      <c r="U447" s="2">
        <v>39.75</v>
      </c>
    </row>
    <row r="448" spans="1:21" x14ac:dyDescent="0.35">
      <c r="A448">
        <v>291</v>
      </c>
      <c r="B448" t="s">
        <v>1733</v>
      </c>
      <c r="C448" s="1">
        <v>45395</v>
      </c>
      <c r="D448" s="1">
        <v>45401</v>
      </c>
      <c r="E448" t="s">
        <v>45</v>
      </c>
      <c r="F448" t="s">
        <v>1734</v>
      </c>
      <c r="G448" t="s">
        <v>149</v>
      </c>
      <c r="H448" t="s">
        <v>25</v>
      </c>
      <c r="I448" t="s">
        <v>26</v>
      </c>
      <c r="J448" t="s">
        <v>48</v>
      </c>
      <c r="K448" t="s">
        <v>48</v>
      </c>
      <c r="L448">
        <v>95473</v>
      </c>
      <c r="M448" t="s">
        <v>39</v>
      </c>
      <c r="N448" t="s">
        <v>1735</v>
      </c>
      <c r="O448" t="s">
        <v>41</v>
      </c>
      <c r="P448" t="s">
        <v>170</v>
      </c>
      <c r="Q448" t="s">
        <v>171</v>
      </c>
      <c r="R448" s="2">
        <v>29.59</v>
      </c>
      <c r="S448">
        <v>1</v>
      </c>
      <c r="T448" s="3">
        <v>0.05</v>
      </c>
      <c r="U448" s="2">
        <v>4.5199999999999996</v>
      </c>
    </row>
    <row r="449" spans="1:21" x14ac:dyDescent="0.35">
      <c r="A449">
        <v>127</v>
      </c>
      <c r="B449" t="s">
        <v>1736</v>
      </c>
      <c r="C449" s="1">
        <v>45398</v>
      </c>
      <c r="D449" s="1">
        <v>45400</v>
      </c>
      <c r="E449" t="s">
        <v>34</v>
      </c>
      <c r="F449" t="s">
        <v>1737</v>
      </c>
      <c r="G449" t="s">
        <v>411</v>
      </c>
      <c r="H449" t="s">
        <v>25</v>
      </c>
      <c r="I449" t="s">
        <v>26</v>
      </c>
      <c r="J449" t="s">
        <v>122</v>
      </c>
      <c r="K449" t="s">
        <v>122</v>
      </c>
      <c r="L449">
        <v>72812</v>
      </c>
      <c r="M449" t="s">
        <v>65</v>
      </c>
      <c r="N449" t="s">
        <v>1738</v>
      </c>
      <c r="O449" t="s">
        <v>58</v>
      </c>
      <c r="P449" t="s">
        <v>307</v>
      </c>
      <c r="Q449" t="s">
        <v>1739</v>
      </c>
      <c r="R449" s="2">
        <v>297.16000000000003</v>
      </c>
      <c r="S449">
        <v>3</v>
      </c>
      <c r="T449" s="3">
        <v>0.05</v>
      </c>
      <c r="U449" s="2">
        <v>79.16</v>
      </c>
    </row>
    <row r="450" spans="1:21" x14ac:dyDescent="0.35">
      <c r="A450">
        <v>533</v>
      </c>
      <c r="B450" t="s">
        <v>1740</v>
      </c>
      <c r="C450" s="1">
        <v>45402</v>
      </c>
      <c r="D450" s="1">
        <v>45406</v>
      </c>
      <c r="E450" t="s">
        <v>34</v>
      </c>
      <c r="F450" t="s">
        <v>1741</v>
      </c>
      <c r="G450" t="s">
        <v>797</v>
      </c>
      <c r="H450" t="s">
        <v>25</v>
      </c>
      <c r="I450" t="s">
        <v>26</v>
      </c>
      <c r="J450" t="s">
        <v>277</v>
      </c>
      <c r="K450" t="s">
        <v>277</v>
      </c>
      <c r="L450">
        <v>83228</v>
      </c>
      <c r="M450" t="s">
        <v>56</v>
      </c>
      <c r="N450" t="s">
        <v>1168</v>
      </c>
      <c r="O450" t="s">
        <v>41</v>
      </c>
      <c r="P450" t="s">
        <v>170</v>
      </c>
      <c r="Q450" t="s">
        <v>1638</v>
      </c>
      <c r="R450" s="2">
        <v>112.12</v>
      </c>
      <c r="S450">
        <v>5</v>
      </c>
      <c r="T450" s="3">
        <v>0.15</v>
      </c>
      <c r="U450" s="2">
        <v>16.79</v>
      </c>
    </row>
    <row r="451" spans="1:21" x14ac:dyDescent="0.35">
      <c r="A451">
        <v>416</v>
      </c>
      <c r="B451" t="s">
        <v>1742</v>
      </c>
      <c r="C451" s="1">
        <v>45405</v>
      </c>
      <c r="D451" s="1">
        <v>45406</v>
      </c>
      <c r="E451" t="s">
        <v>290</v>
      </c>
      <c r="F451" t="s">
        <v>1743</v>
      </c>
      <c r="G451" t="s">
        <v>721</v>
      </c>
      <c r="H451" t="s">
        <v>25</v>
      </c>
      <c r="I451" t="s">
        <v>26</v>
      </c>
      <c r="J451" t="s">
        <v>277</v>
      </c>
      <c r="K451" t="s">
        <v>277</v>
      </c>
      <c r="L451">
        <v>49601</v>
      </c>
      <c r="M451" t="s">
        <v>56</v>
      </c>
      <c r="N451" t="s">
        <v>1744</v>
      </c>
      <c r="O451" t="s">
        <v>41</v>
      </c>
      <c r="P451" t="s">
        <v>42</v>
      </c>
      <c r="Q451" t="s">
        <v>1677</v>
      </c>
      <c r="R451" s="2">
        <v>164.57</v>
      </c>
      <c r="S451">
        <v>6</v>
      </c>
      <c r="T451" s="3">
        <v>0.2</v>
      </c>
      <c r="U451" s="2">
        <v>19.78</v>
      </c>
    </row>
    <row r="452" spans="1:21" x14ac:dyDescent="0.35">
      <c r="A452">
        <v>367</v>
      </c>
      <c r="B452" t="s">
        <v>1745</v>
      </c>
      <c r="C452" s="1">
        <v>45406</v>
      </c>
      <c r="D452" s="1">
        <v>45408</v>
      </c>
      <c r="E452" t="s">
        <v>22</v>
      </c>
      <c r="F452" t="s">
        <v>1746</v>
      </c>
      <c r="G452" t="s">
        <v>520</v>
      </c>
      <c r="H452" t="s">
        <v>25</v>
      </c>
      <c r="I452" t="s">
        <v>26</v>
      </c>
      <c r="J452" t="s">
        <v>204</v>
      </c>
      <c r="K452" t="s">
        <v>204</v>
      </c>
      <c r="L452">
        <v>60755</v>
      </c>
      <c r="M452" t="s">
        <v>39</v>
      </c>
      <c r="N452" t="s">
        <v>1494</v>
      </c>
      <c r="O452" t="s">
        <v>58</v>
      </c>
      <c r="P452" t="s">
        <v>89</v>
      </c>
      <c r="Q452" t="s">
        <v>1747</v>
      </c>
      <c r="R452" s="2">
        <v>130.16999999999999</v>
      </c>
      <c r="S452">
        <v>6</v>
      </c>
      <c r="T452" s="3">
        <v>0.4</v>
      </c>
      <c r="U452" s="2">
        <v>-16.86</v>
      </c>
    </row>
    <row r="453" spans="1:21" x14ac:dyDescent="0.35">
      <c r="A453">
        <v>195</v>
      </c>
      <c r="B453" t="s">
        <v>1748</v>
      </c>
      <c r="C453" s="1">
        <v>45407</v>
      </c>
      <c r="D453" s="1">
        <v>45410</v>
      </c>
      <c r="E453" t="s">
        <v>34</v>
      </c>
      <c r="F453" t="s">
        <v>1749</v>
      </c>
      <c r="G453" t="s">
        <v>793</v>
      </c>
      <c r="H453" t="s">
        <v>25</v>
      </c>
      <c r="I453" t="s">
        <v>26</v>
      </c>
      <c r="J453" t="s">
        <v>168</v>
      </c>
      <c r="K453" t="s">
        <v>168</v>
      </c>
      <c r="L453">
        <v>91486</v>
      </c>
      <c r="M453" t="s">
        <v>28</v>
      </c>
      <c r="N453" t="s">
        <v>1750</v>
      </c>
      <c r="O453" t="s">
        <v>58</v>
      </c>
      <c r="P453" t="s">
        <v>112</v>
      </c>
      <c r="Q453" t="s">
        <v>1751</v>
      </c>
      <c r="R453" s="2">
        <v>63.1</v>
      </c>
      <c r="S453">
        <v>6</v>
      </c>
      <c r="T453" s="3">
        <v>0.1</v>
      </c>
      <c r="U453" s="2">
        <v>12.44</v>
      </c>
    </row>
    <row r="454" spans="1:21" x14ac:dyDescent="0.35">
      <c r="A454">
        <v>596</v>
      </c>
      <c r="B454" t="s">
        <v>1752</v>
      </c>
      <c r="C454" s="1">
        <v>45407</v>
      </c>
      <c r="D454" s="1">
        <v>45411</v>
      </c>
      <c r="E454" t="s">
        <v>34</v>
      </c>
      <c r="F454" t="s">
        <v>1753</v>
      </c>
      <c r="G454" t="s">
        <v>756</v>
      </c>
      <c r="H454" t="s">
        <v>37</v>
      </c>
      <c r="I454" t="s">
        <v>26</v>
      </c>
      <c r="J454" t="s">
        <v>122</v>
      </c>
      <c r="K454" t="s">
        <v>122</v>
      </c>
      <c r="L454">
        <v>65692</v>
      </c>
      <c r="M454" t="s">
        <v>65</v>
      </c>
      <c r="N454" t="s">
        <v>1754</v>
      </c>
      <c r="O454" t="s">
        <v>58</v>
      </c>
      <c r="P454" t="s">
        <v>89</v>
      </c>
      <c r="Q454" t="s">
        <v>1755</v>
      </c>
      <c r="R454" s="2">
        <v>259.52999999999997</v>
      </c>
      <c r="S454">
        <v>5</v>
      </c>
      <c r="T454" s="3">
        <v>0.2</v>
      </c>
      <c r="U454" s="2">
        <v>45.83</v>
      </c>
    </row>
    <row r="455" spans="1:21" x14ac:dyDescent="0.35">
      <c r="A455">
        <v>597</v>
      </c>
      <c r="B455" t="s">
        <v>1756</v>
      </c>
      <c r="C455" s="1">
        <v>45408</v>
      </c>
      <c r="D455" s="1">
        <v>45412</v>
      </c>
      <c r="E455" t="s">
        <v>34</v>
      </c>
      <c r="F455" t="s">
        <v>1757</v>
      </c>
      <c r="G455" t="s">
        <v>98</v>
      </c>
      <c r="H455" t="s">
        <v>37</v>
      </c>
      <c r="I455" t="s">
        <v>26</v>
      </c>
      <c r="J455" t="s">
        <v>139</v>
      </c>
      <c r="K455" t="s">
        <v>139</v>
      </c>
      <c r="L455">
        <v>22569</v>
      </c>
      <c r="M455" t="s">
        <v>65</v>
      </c>
      <c r="N455" t="s">
        <v>1758</v>
      </c>
      <c r="O455" t="s">
        <v>58</v>
      </c>
      <c r="P455" t="s">
        <v>112</v>
      </c>
      <c r="Q455" t="s">
        <v>200</v>
      </c>
      <c r="R455" s="2">
        <v>560.91</v>
      </c>
      <c r="S455">
        <v>7</v>
      </c>
      <c r="T455" s="3">
        <v>0.05</v>
      </c>
      <c r="U455" s="2">
        <v>131.5</v>
      </c>
    </row>
    <row r="456" spans="1:21" x14ac:dyDescent="0.35">
      <c r="A456">
        <v>231</v>
      </c>
      <c r="B456" t="s">
        <v>1759</v>
      </c>
      <c r="C456" s="1">
        <v>45410</v>
      </c>
      <c r="D456" s="1">
        <v>45414</v>
      </c>
      <c r="E456" t="s">
        <v>34</v>
      </c>
      <c r="F456" t="s">
        <v>1760</v>
      </c>
      <c r="G456" t="s">
        <v>681</v>
      </c>
      <c r="H456" t="s">
        <v>37</v>
      </c>
      <c r="I456" t="s">
        <v>26</v>
      </c>
      <c r="J456" t="s">
        <v>331</v>
      </c>
      <c r="K456" t="s">
        <v>331</v>
      </c>
      <c r="L456">
        <v>21151</v>
      </c>
      <c r="M456" t="s">
        <v>28</v>
      </c>
      <c r="N456" t="s">
        <v>1761</v>
      </c>
      <c r="O456" t="s">
        <v>41</v>
      </c>
      <c r="P456" t="s">
        <v>134</v>
      </c>
      <c r="Q456" t="s">
        <v>1264</v>
      </c>
      <c r="R456" s="2">
        <v>82.27</v>
      </c>
      <c r="S456">
        <v>4</v>
      </c>
      <c r="T456" s="3">
        <v>0.2</v>
      </c>
      <c r="U456" s="2">
        <v>2.38</v>
      </c>
    </row>
    <row r="457" spans="1:21" x14ac:dyDescent="0.35">
      <c r="A457">
        <v>150</v>
      </c>
      <c r="B457" t="s">
        <v>1762</v>
      </c>
      <c r="C457" s="1">
        <v>45411</v>
      </c>
      <c r="D457" s="1">
        <v>45413</v>
      </c>
      <c r="E457" t="s">
        <v>34</v>
      </c>
      <c r="F457" t="s">
        <v>1763</v>
      </c>
      <c r="G457" t="s">
        <v>232</v>
      </c>
      <c r="H457" t="s">
        <v>25</v>
      </c>
      <c r="I457" t="s">
        <v>26</v>
      </c>
      <c r="J457" t="s">
        <v>27</v>
      </c>
      <c r="K457" t="s">
        <v>27</v>
      </c>
      <c r="L457">
        <v>96120</v>
      </c>
      <c r="M457" t="s">
        <v>28</v>
      </c>
      <c r="N457" t="s">
        <v>1764</v>
      </c>
      <c r="O457" t="s">
        <v>41</v>
      </c>
      <c r="P457" t="s">
        <v>73</v>
      </c>
      <c r="Q457" t="s">
        <v>1146</v>
      </c>
      <c r="R457" s="2">
        <v>85.19</v>
      </c>
      <c r="S457">
        <v>1</v>
      </c>
      <c r="T457" s="3">
        <v>0</v>
      </c>
      <c r="U457" s="2">
        <v>17.45</v>
      </c>
    </row>
    <row r="458" spans="1:21" x14ac:dyDescent="0.35">
      <c r="A458">
        <v>325</v>
      </c>
      <c r="B458" t="s">
        <v>1765</v>
      </c>
      <c r="C458" s="1">
        <v>45411</v>
      </c>
      <c r="D458" s="1">
        <v>45415</v>
      </c>
      <c r="E458" t="s">
        <v>34</v>
      </c>
      <c r="F458" t="s">
        <v>1766</v>
      </c>
      <c r="G458" t="s">
        <v>336</v>
      </c>
      <c r="H458" t="s">
        <v>37</v>
      </c>
      <c r="I458" t="s">
        <v>26</v>
      </c>
      <c r="J458" t="s">
        <v>127</v>
      </c>
      <c r="K458" t="s">
        <v>127</v>
      </c>
      <c r="L458">
        <v>76275</v>
      </c>
      <c r="M458" t="s">
        <v>56</v>
      </c>
      <c r="N458" t="s">
        <v>1767</v>
      </c>
      <c r="O458" t="s">
        <v>30</v>
      </c>
      <c r="P458" t="s">
        <v>157</v>
      </c>
      <c r="Q458" t="s">
        <v>1398</v>
      </c>
      <c r="R458" s="2">
        <v>222.17</v>
      </c>
      <c r="S458">
        <v>1</v>
      </c>
      <c r="T458" s="3">
        <v>0.2</v>
      </c>
      <c r="U458" s="2">
        <v>37.07</v>
      </c>
    </row>
    <row r="459" spans="1:21" x14ac:dyDescent="0.35">
      <c r="A459">
        <v>60</v>
      </c>
      <c r="B459" t="s">
        <v>1768</v>
      </c>
      <c r="C459" s="1">
        <v>45415</v>
      </c>
      <c r="D459" s="1">
        <v>45419</v>
      </c>
      <c r="E459" t="s">
        <v>34</v>
      </c>
      <c r="F459" t="s">
        <v>1769</v>
      </c>
      <c r="G459" t="s">
        <v>167</v>
      </c>
      <c r="H459" t="s">
        <v>54</v>
      </c>
      <c r="I459" t="s">
        <v>26</v>
      </c>
      <c r="J459" t="s">
        <v>139</v>
      </c>
      <c r="K459" t="s">
        <v>139</v>
      </c>
      <c r="L459">
        <v>61693</v>
      </c>
      <c r="M459" t="s">
        <v>65</v>
      </c>
      <c r="N459" t="s">
        <v>302</v>
      </c>
      <c r="O459" t="s">
        <v>58</v>
      </c>
      <c r="P459" t="s">
        <v>89</v>
      </c>
      <c r="Q459" t="s">
        <v>211</v>
      </c>
      <c r="R459" s="2">
        <v>848.74</v>
      </c>
      <c r="S459">
        <v>2</v>
      </c>
      <c r="T459" s="3">
        <v>0.2</v>
      </c>
      <c r="U459" s="2">
        <v>16.739999999999998</v>
      </c>
    </row>
    <row r="460" spans="1:21" x14ac:dyDescent="0.35">
      <c r="A460">
        <v>348</v>
      </c>
      <c r="B460" t="s">
        <v>1770</v>
      </c>
      <c r="C460" s="1">
        <v>45415</v>
      </c>
      <c r="D460" s="1">
        <v>45418</v>
      </c>
      <c r="E460" t="s">
        <v>34</v>
      </c>
      <c r="F460" t="s">
        <v>1771</v>
      </c>
      <c r="G460" t="s">
        <v>104</v>
      </c>
      <c r="H460" t="s">
        <v>54</v>
      </c>
      <c r="I460" t="s">
        <v>26</v>
      </c>
      <c r="J460" t="s">
        <v>277</v>
      </c>
      <c r="K460" t="s">
        <v>277</v>
      </c>
      <c r="L460">
        <v>41213</v>
      </c>
      <c r="M460" t="s">
        <v>56</v>
      </c>
      <c r="N460" t="s">
        <v>1772</v>
      </c>
      <c r="O460" t="s">
        <v>30</v>
      </c>
      <c r="P460" t="s">
        <v>100</v>
      </c>
      <c r="Q460" t="s">
        <v>1441</v>
      </c>
      <c r="R460" s="2">
        <v>258.12</v>
      </c>
      <c r="S460">
        <v>6</v>
      </c>
      <c r="T460" s="3">
        <v>0.4</v>
      </c>
      <c r="U460" s="2">
        <v>-45.14</v>
      </c>
    </row>
    <row r="461" spans="1:21" x14ac:dyDescent="0.35">
      <c r="A461">
        <v>515</v>
      </c>
      <c r="B461" t="s">
        <v>1773</v>
      </c>
      <c r="C461" s="1">
        <v>45416</v>
      </c>
      <c r="D461" s="1">
        <v>45421</v>
      </c>
      <c r="E461" t="s">
        <v>34</v>
      </c>
      <c r="F461" t="s">
        <v>1774</v>
      </c>
      <c r="G461" t="s">
        <v>461</v>
      </c>
      <c r="H461" t="s">
        <v>37</v>
      </c>
      <c r="I461" t="s">
        <v>26</v>
      </c>
      <c r="J461" t="s">
        <v>162</v>
      </c>
      <c r="K461" t="s">
        <v>162</v>
      </c>
      <c r="L461">
        <v>43690</v>
      </c>
      <c r="M461" t="s">
        <v>28</v>
      </c>
      <c r="N461" t="s">
        <v>1775</v>
      </c>
      <c r="O461" t="s">
        <v>58</v>
      </c>
      <c r="P461" t="s">
        <v>112</v>
      </c>
      <c r="Q461" t="s">
        <v>1776</v>
      </c>
      <c r="R461" s="2">
        <v>186.19</v>
      </c>
      <c r="S461">
        <v>4</v>
      </c>
      <c r="T461" s="3">
        <v>0.05</v>
      </c>
      <c r="U461" s="2">
        <v>35.07</v>
      </c>
    </row>
    <row r="462" spans="1:21" x14ac:dyDescent="0.35">
      <c r="A462">
        <v>101</v>
      </c>
      <c r="B462" t="s">
        <v>1777</v>
      </c>
      <c r="C462" s="1">
        <v>45418</v>
      </c>
      <c r="D462" s="1">
        <v>45420</v>
      </c>
      <c r="E462" t="s">
        <v>34</v>
      </c>
      <c r="F462" t="s">
        <v>1778</v>
      </c>
      <c r="G462" t="s">
        <v>116</v>
      </c>
      <c r="H462" t="s">
        <v>37</v>
      </c>
      <c r="I462" t="s">
        <v>26</v>
      </c>
      <c r="J462" t="s">
        <v>82</v>
      </c>
      <c r="K462" t="s">
        <v>82</v>
      </c>
      <c r="L462">
        <v>67993</v>
      </c>
      <c r="M462" t="s">
        <v>28</v>
      </c>
      <c r="N462" t="s">
        <v>1779</v>
      </c>
      <c r="O462" t="s">
        <v>30</v>
      </c>
      <c r="P462" t="s">
        <v>176</v>
      </c>
      <c r="Q462" t="s">
        <v>837</v>
      </c>
      <c r="R462" s="2">
        <v>142.47</v>
      </c>
      <c r="S462">
        <v>6</v>
      </c>
      <c r="T462" s="3">
        <v>0</v>
      </c>
      <c r="U462" s="2">
        <v>29.09</v>
      </c>
    </row>
    <row r="463" spans="1:21" x14ac:dyDescent="0.35">
      <c r="A463">
        <v>251</v>
      </c>
      <c r="B463" t="s">
        <v>1780</v>
      </c>
      <c r="C463" s="1">
        <v>45419</v>
      </c>
      <c r="D463" s="1">
        <v>45421</v>
      </c>
      <c r="E463" t="s">
        <v>34</v>
      </c>
      <c r="F463" t="s">
        <v>1781</v>
      </c>
      <c r="G463" t="s">
        <v>1046</v>
      </c>
      <c r="H463" t="s">
        <v>25</v>
      </c>
      <c r="I463" t="s">
        <v>26</v>
      </c>
      <c r="J463" t="s">
        <v>64</v>
      </c>
      <c r="K463" t="s">
        <v>64</v>
      </c>
      <c r="L463">
        <v>85209</v>
      </c>
      <c r="M463" t="s">
        <v>65</v>
      </c>
      <c r="N463" t="s">
        <v>1782</v>
      </c>
      <c r="O463" t="s">
        <v>41</v>
      </c>
      <c r="P463" t="s">
        <v>134</v>
      </c>
      <c r="Q463" t="s">
        <v>1783</v>
      </c>
      <c r="R463" s="2">
        <v>46.11</v>
      </c>
      <c r="S463">
        <v>7</v>
      </c>
      <c r="T463" s="3">
        <v>0.05</v>
      </c>
      <c r="U463" s="2">
        <v>10.039999999999999</v>
      </c>
    </row>
    <row r="464" spans="1:21" x14ac:dyDescent="0.35">
      <c r="A464">
        <v>428</v>
      </c>
      <c r="B464" t="s">
        <v>1784</v>
      </c>
      <c r="C464" s="1">
        <v>45419</v>
      </c>
      <c r="D464" s="1">
        <v>45421</v>
      </c>
      <c r="E464" t="s">
        <v>45</v>
      </c>
      <c r="F464" t="s">
        <v>1785</v>
      </c>
      <c r="G464" t="s">
        <v>326</v>
      </c>
      <c r="H464" t="s">
        <v>37</v>
      </c>
      <c r="I464" t="s">
        <v>26</v>
      </c>
      <c r="J464" t="s">
        <v>331</v>
      </c>
      <c r="K464" t="s">
        <v>331</v>
      </c>
      <c r="L464">
        <v>15574</v>
      </c>
      <c r="M464" t="s">
        <v>28</v>
      </c>
      <c r="N464" t="s">
        <v>1786</v>
      </c>
      <c r="O464" t="s">
        <v>30</v>
      </c>
      <c r="P464" t="s">
        <v>31</v>
      </c>
      <c r="Q464" t="s">
        <v>538</v>
      </c>
      <c r="R464" s="2">
        <v>168.16</v>
      </c>
      <c r="S464">
        <v>4</v>
      </c>
      <c r="T464" s="3">
        <v>0.1</v>
      </c>
      <c r="U464" s="2">
        <v>11.89</v>
      </c>
    </row>
    <row r="465" spans="1:21" x14ac:dyDescent="0.35">
      <c r="A465">
        <v>337</v>
      </c>
      <c r="B465" t="s">
        <v>1787</v>
      </c>
      <c r="C465" s="1">
        <v>45420</v>
      </c>
      <c r="D465" s="1">
        <v>45425</v>
      </c>
      <c r="E465" t="s">
        <v>34</v>
      </c>
      <c r="F465" t="s">
        <v>1788</v>
      </c>
      <c r="G465" t="s">
        <v>149</v>
      </c>
      <c r="H465" t="s">
        <v>25</v>
      </c>
      <c r="I465" t="s">
        <v>26</v>
      </c>
      <c r="J465" t="s">
        <v>472</v>
      </c>
      <c r="K465" t="s">
        <v>472</v>
      </c>
      <c r="L465">
        <v>51950</v>
      </c>
      <c r="M465" t="s">
        <v>56</v>
      </c>
      <c r="N465" t="s">
        <v>1789</v>
      </c>
      <c r="O465" t="s">
        <v>58</v>
      </c>
      <c r="P465" t="s">
        <v>307</v>
      </c>
      <c r="Q465" t="s">
        <v>1790</v>
      </c>
      <c r="R465" s="2">
        <v>94.76</v>
      </c>
      <c r="S465">
        <v>1</v>
      </c>
      <c r="T465" s="3">
        <v>0.15</v>
      </c>
      <c r="U465" s="2">
        <v>16.850000000000001</v>
      </c>
    </row>
    <row r="466" spans="1:21" x14ac:dyDescent="0.35">
      <c r="A466">
        <v>462</v>
      </c>
      <c r="B466" t="s">
        <v>1791</v>
      </c>
      <c r="C466" s="1">
        <v>45421</v>
      </c>
      <c r="D466" s="1">
        <v>45423</v>
      </c>
      <c r="E466" t="s">
        <v>45</v>
      </c>
      <c r="F466" t="s">
        <v>1792</v>
      </c>
      <c r="G466" t="s">
        <v>1267</v>
      </c>
      <c r="H466" t="s">
        <v>25</v>
      </c>
      <c r="I466" t="s">
        <v>26</v>
      </c>
      <c r="J466" t="s">
        <v>181</v>
      </c>
      <c r="K466" t="s">
        <v>181</v>
      </c>
      <c r="L466">
        <v>74555</v>
      </c>
      <c r="M466" t="s">
        <v>65</v>
      </c>
      <c r="N466" t="s">
        <v>1793</v>
      </c>
      <c r="O466" t="s">
        <v>41</v>
      </c>
      <c r="P466" t="s">
        <v>73</v>
      </c>
      <c r="Q466" t="s">
        <v>758</v>
      </c>
      <c r="R466" s="2">
        <v>60.53</v>
      </c>
      <c r="S466">
        <v>2</v>
      </c>
      <c r="T466" s="3">
        <v>0.05</v>
      </c>
      <c r="U466" s="2">
        <v>10.050000000000001</v>
      </c>
    </row>
    <row r="467" spans="1:21" x14ac:dyDescent="0.35">
      <c r="A467">
        <v>1</v>
      </c>
      <c r="B467" t="s">
        <v>1794</v>
      </c>
      <c r="C467" s="1">
        <v>45422</v>
      </c>
      <c r="D467" s="1">
        <v>45424</v>
      </c>
      <c r="E467" t="s">
        <v>34</v>
      </c>
      <c r="F467" t="s">
        <v>1795</v>
      </c>
      <c r="G467" t="s">
        <v>382</v>
      </c>
      <c r="H467" t="s">
        <v>25</v>
      </c>
      <c r="I467" t="s">
        <v>26</v>
      </c>
      <c r="J467" t="s">
        <v>168</v>
      </c>
      <c r="K467" t="s">
        <v>168</v>
      </c>
      <c r="L467">
        <v>15311</v>
      </c>
      <c r="M467" t="s">
        <v>28</v>
      </c>
      <c r="N467" t="s">
        <v>1796</v>
      </c>
      <c r="O467" t="s">
        <v>41</v>
      </c>
      <c r="P467" t="s">
        <v>106</v>
      </c>
      <c r="Q467" t="s">
        <v>1797</v>
      </c>
      <c r="R467" s="2">
        <v>171.67</v>
      </c>
      <c r="S467">
        <v>2</v>
      </c>
      <c r="T467" s="3">
        <v>0.2</v>
      </c>
      <c r="U467" s="2">
        <v>17.09</v>
      </c>
    </row>
    <row r="468" spans="1:21" x14ac:dyDescent="0.35">
      <c r="A468">
        <v>192</v>
      </c>
      <c r="B468" t="s">
        <v>1798</v>
      </c>
      <c r="C468" s="1">
        <v>45425</v>
      </c>
      <c r="D468" s="1">
        <v>45429</v>
      </c>
      <c r="E468" t="s">
        <v>34</v>
      </c>
      <c r="F468" t="s">
        <v>1799</v>
      </c>
      <c r="G468" t="s">
        <v>575</v>
      </c>
      <c r="H468" t="s">
        <v>54</v>
      </c>
      <c r="I468" t="s">
        <v>26</v>
      </c>
      <c r="J468" t="s">
        <v>71</v>
      </c>
      <c r="K468" t="s">
        <v>71</v>
      </c>
      <c r="L468">
        <v>66184</v>
      </c>
      <c r="M468" t="s">
        <v>56</v>
      </c>
      <c r="N468" t="s">
        <v>1800</v>
      </c>
      <c r="O468" t="s">
        <v>30</v>
      </c>
      <c r="P468" t="s">
        <v>176</v>
      </c>
      <c r="Q468" t="s">
        <v>592</v>
      </c>
      <c r="R468" s="2">
        <v>322.19</v>
      </c>
      <c r="S468">
        <v>2</v>
      </c>
      <c r="T468" s="3">
        <v>0.15</v>
      </c>
      <c r="U468" s="2">
        <v>31.36</v>
      </c>
    </row>
    <row r="469" spans="1:21" x14ac:dyDescent="0.35">
      <c r="A469">
        <v>7</v>
      </c>
      <c r="B469" t="s">
        <v>1801</v>
      </c>
      <c r="C469" s="1">
        <v>45425</v>
      </c>
      <c r="D469" s="1">
        <v>45429</v>
      </c>
      <c r="E469" t="s">
        <v>34</v>
      </c>
      <c r="F469" t="s">
        <v>1802</v>
      </c>
      <c r="G469" t="s">
        <v>516</v>
      </c>
      <c r="H469" t="s">
        <v>54</v>
      </c>
      <c r="I469" t="s">
        <v>26</v>
      </c>
      <c r="J469" t="s">
        <v>168</v>
      </c>
      <c r="K469" t="s">
        <v>168</v>
      </c>
      <c r="L469">
        <v>53585</v>
      </c>
      <c r="M469" t="s">
        <v>28</v>
      </c>
      <c r="N469" t="s">
        <v>1803</v>
      </c>
      <c r="O469" t="s">
        <v>41</v>
      </c>
      <c r="P469" t="s">
        <v>73</v>
      </c>
      <c r="Q469" t="s">
        <v>366</v>
      </c>
      <c r="R469" s="2">
        <v>170.32</v>
      </c>
      <c r="S469">
        <v>5</v>
      </c>
      <c r="T469" s="3">
        <v>0.05</v>
      </c>
      <c r="U469" s="2">
        <v>28.61</v>
      </c>
    </row>
    <row r="470" spans="1:21" x14ac:dyDescent="0.35">
      <c r="A470">
        <v>12</v>
      </c>
      <c r="B470" t="s">
        <v>1804</v>
      </c>
      <c r="C470" s="1">
        <v>45425</v>
      </c>
      <c r="D470" s="1">
        <v>45427</v>
      </c>
      <c r="E470" t="s">
        <v>45</v>
      </c>
      <c r="F470" t="s">
        <v>1805</v>
      </c>
      <c r="G470" t="s">
        <v>1009</v>
      </c>
      <c r="H470" t="s">
        <v>54</v>
      </c>
      <c r="I470" t="s">
        <v>26</v>
      </c>
      <c r="J470" t="s">
        <v>139</v>
      </c>
      <c r="K470" t="s">
        <v>139</v>
      </c>
      <c r="L470">
        <v>26371</v>
      </c>
      <c r="M470" t="s">
        <v>65</v>
      </c>
      <c r="N470" t="s">
        <v>1806</v>
      </c>
      <c r="O470" t="s">
        <v>41</v>
      </c>
      <c r="P470" t="s">
        <v>106</v>
      </c>
      <c r="Q470" t="s">
        <v>1807</v>
      </c>
      <c r="R470" s="2">
        <v>42.09</v>
      </c>
      <c r="S470">
        <v>7</v>
      </c>
      <c r="T470" s="3">
        <v>0.15</v>
      </c>
      <c r="U470" s="2">
        <v>3.63</v>
      </c>
    </row>
    <row r="471" spans="1:21" x14ac:dyDescent="0.35">
      <c r="A471">
        <v>579</v>
      </c>
      <c r="B471" t="s">
        <v>1808</v>
      </c>
      <c r="C471" s="1">
        <v>45426</v>
      </c>
      <c r="D471" s="1">
        <v>45429</v>
      </c>
      <c r="E471" t="s">
        <v>34</v>
      </c>
      <c r="F471" t="s">
        <v>1809</v>
      </c>
      <c r="G471" t="s">
        <v>524</v>
      </c>
      <c r="H471" t="s">
        <v>37</v>
      </c>
      <c r="I471" t="s">
        <v>26</v>
      </c>
      <c r="J471" t="s">
        <v>38</v>
      </c>
      <c r="K471" t="s">
        <v>38</v>
      </c>
      <c r="L471">
        <v>83839</v>
      </c>
      <c r="M471" t="s">
        <v>39</v>
      </c>
      <c r="N471" t="s">
        <v>1810</v>
      </c>
      <c r="O471" t="s">
        <v>41</v>
      </c>
      <c r="P471" t="s">
        <v>134</v>
      </c>
      <c r="Q471" t="s">
        <v>1264</v>
      </c>
      <c r="R471" s="2">
        <v>17.100000000000001</v>
      </c>
      <c r="S471">
        <v>2</v>
      </c>
      <c r="T471" s="3">
        <v>0.3</v>
      </c>
      <c r="U471" s="2">
        <v>0.73</v>
      </c>
    </row>
    <row r="472" spans="1:21" x14ac:dyDescent="0.35">
      <c r="A472">
        <v>65</v>
      </c>
      <c r="B472" t="s">
        <v>1811</v>
      </c>
      <c r="C472" s="1">
        <v>45427</v>
      </c>
      <c r="D472" s="1">
        <v>45429</v>
      </c>
      <c r="E472" t="s">
        <v>45</v>
      </c>
      <c r="F472" t="s">
        <v>1812</v>
      </c>
      <c r="G472" t="s">
        <v>466</v>
      </c>
      <c r="H472" t="s">
        <v>54</v>
      </c>
      <c r="I472" t="s">
        <v>26</v>
      </c>
      <c r="J472" t="s">
        <v>139</v>
      </c>
      <c r="K472" t="s">
        <v>139</v>
      </c>
      <c r="L472">
        <v>11750</v>
      </c>
      <c r="M472" t="s">
        <v>65</v>
      </c>
      <c r="N472" t="s">
        <v>1719</v>
      </c>
      <c r="O472" t="s">
        <v>30</v>
      </c>
      <c r="P472" t="s">
        <v>176</v>
      </c>
      <c r="Q472" t="s">
        <v>1813</v>
      </c>
      <c r="R472" s="2">
        <v>45.37</v>
      </c>
      <c r="S472">
        <v>3</v>
      </c>
      <c r="T472" s="3">
        <v>0.2</v>
      </c>
      <c r="U472" s="2">
        <v>1.1299999999999999</v>
      </c>
    </row>
    <row r="473" spans="1:21" x14ac:dyDescent="0.35">
      <c r="A473">
        <v>404</v>
      </c>
      <c r="B473" t="s">
        <v>1814</v>
      </c>
      <c r="C473" s="1">
        <v>45433</v>
      </c>
      <c r="D473" s="1">
        <v>45438</v>
      </c>
      <c r="E473" t="s">
        <v>45</v>
      </c>
      <c r="F473" t="s">
        <v>1815</v>
      </c>
      <c r="G473" t="s">
        <v>496</v>
      </c>
      <c r="H473" t="s">
        <v>25</v>
      </c>
      <c r="I473" t="s">
        <v>26</v>
      </c>
      <c r="J473" t="s">
        <v>48</v>
      </c>
      <c r="K473" t="s">
        <v>48</v>
      </c>
      <c r="L473">
        <v>68703</v>
      </c>
      <c r="M473" t="s">
        <v>39</v>
      </c>
      <c r="N473" t="s">
        <v>1284</v>
      </c>
      <c r="O473" t="s">
        <v>41</v>
      </c>
      <c r="P473" t="s">
        <v>151</v>
      </c>
      <c r="Q473" t="s">
        <v>152</v>
      </c>
      <c r="R473" s="2">
        <v>95.29</v>
      </c>
      <c r="S473">
        <v>2</v>
      </c>
      <c r="T473" s="3">
        <v>0</v>
      </c>
      <c r="U473" s="2">
        <v>25.6</v>
      </c>
    </row>
    <row r="474" spans="1:21" x14ac:dyDescent="0.35">
      <c r="A474">
        <v>504</v>
      </c>
      <c r="B474" t="s">
        <v>1816</v>
      </c>
      <c r="C474" s="1">
        <v>45435</v>
      </c>
      <c r="D474" s="1">
        <v>45438</v>
      </c>
      <c r="E474" t="s">
        <v>34</v>
      </c>
      <c r="F474" t="s">
        <v>1817</v>
      </c>
      <c r="G474" t="s">
        <v>439</v>
      </c>
      <c r="H474" t="s">
        <v>25</v>
      </c>
      <c r="I474" t="s">
        <v>26</v>
      </c>
      <c r="J474" t="s">
        <v>38</v>
      </c>
      <c r="K474" t="s">
        <v>38</v>
      </c>
      <c r="L474">
        <v>86095</v>
      </c>
      <c r="M474" t="s">
        <v>39</v>
      </c>
      <c r="N474" t="s">
        <v>462</v>
      </c>
      <c r="O474" t="s">
        <v>58</v>
      </c>
      <c r="P474" t="s">
        <v>307</v>
      </c>
      <c r="Q474" t="s">
        <v>1604</v>
      </c>
      <c r="R474" s="2">
        <v>63.79</v>
      </c>
      <c r="S474">
        <v>7</v>
      </c>
      <c r="T474" s="3">
        <v>0.2</v>
      </c>
      <c r="U474" s="2">
        <v>5.56</v>
      </c>
    </row>
    <row r="475" spans="1:21" x14ac:dyDescent="0.35">
      <c r="A475">
        <v>122</v>
      </c>
      <c r="B475" t="s">
        <v>1818</v>
      </c>
      <c r="C475" s="1">
        <v>45435</v>
      </c>
      <c r="D475" s="1">
        <v>45439</v>
      </c>
      <c r="E475" t="s">
        <v>34</v>
      </c>
      <c r="F475" t="s">
        <v>1819</v>
      </c>
      <c r="G475" t="s">
        <v>545</v>
      </c>
      <c r="H475" t="s">
        <v>37</v>
      </c>
      <c r="I475" t="s">
        <v>26</v>
      </c>
      <c r="J475" t="s">
        <v>139</v>
      </c>
      <c r="K475" t="s">
        <v>139</v>
      </c>
      <c r="L475">
        <v>23944</v>
      </c>
      <c r="M475" t="s">
        <v>65</v>
      </c>
      <c r="N475" t="s">
        <v>1820</v>
      </c>
      <c r="O475" t="s">
        <v>41</v>
      </c>
      <c r="P475" t="s">
        <v>151</v>
      </c>
      <c r="Q475" t="s">
        <v>1587</v>
      </c>
      <c r="R475" s="2">
        <v>101.62</v>
      </c>
      <c r="S475">
        <v>2</v>
      </c>
      <c r="T475" s="3">
        <v>0.3</v>
      </c>
      <c r="U475" s="2">
        <v>-8.09</v>
      </c>
    </row>
    <row r="476" spans="1:21" x14ac:dyDescent="0.35">
      <c r="A476">
        <v>551</v>
      </c>
      <c r="B476" t="s">
        <v>1821</v>
      </c>
      <c r="C476" s="1">
        <v>45436</v>
      </c>
      <c r="D476" s="1">
        <v>45438</v>
      </c>
      <c r="E476" t="s">
        <v>34</v>
      </c>
      <c r="F476" t="s">
        <v>1822</v>
      </c>
      <c r="G476" t="s">
        <v>292</v>
      </c>
      <c r="H476" t="s">
        <v>25</v>
      </c>
      <c r="I476" t="s">
        <v>26</v>
      </c>
      <c r="J476" t="s">
        <v>233</v>
      </c>
      <c r="K476" t="s">
        <v>233</v>
      </c>
      <c r="L476">
        <v>79000</v>
      </c>
      <c r="M476" t="s">
        <v>65</v>
      </c>
      <c r="N476" t="s">
        <v>1006</v>
      </c>
      <c r="O476" t="s">
        <v>58</v>
      </c>
      <c r="P476" t="s">
        <v>59</v>
      </c>
      <c r="Q476" t="s">
        <v>215</v>
      </c>
      <c r="R476" s="2">
        <v>48.86</v>
      </c>
      <c r="S476">
        <v>2</v>
      </c>
      <c r="T476" s="3">
        <v>0.1</v>
      </c>
      <c r="U476" s="2">
        <v>7.47</v>
      </c>
    </row>
    <row r="477" spans="1:21" x14ac:dyDescent="0.35">
      <c r="A477">
        <v>560</v>
      </c>
      <c r="B477" t="s">
        <v>1823</v>
      </c>
      <c r="C477" s="1">
        <v>45436</v>
      </c>
      <c r="D477" s="1">
        <v>45440</v>
      </c>
      <c r="E477" t="s">
        <v>34</v>
      </c>
      <c r="F477" t="s">
        <v>1824</v>
      </c>
      <c r="G477" t="s">
        <v>222</v>
      </c>
      <c r="H477" t="s">
        <v>37</v>
      </c>
      <c r="I477" t="s">
        <v>26</v>
      </c>
      <c r="J477" t="s">
        <v>71</v>
      </c>
      <c r="K477" t="s">
        <v>71</v>
      </c>
      <c r="L477">
        <v>31424</v>
      </c>
      <c r="M477" t="s">
        <v>56</v>
      </c>
      <c r="N477" t="s">
        <v>1825</v>
      </c>
      <c r="O477" t="s">
        <v>41</v>
      </c>
      <c r="P477" t="s">
        <v>106</v>
      </c>
      <c r="Q477" t="s">
        <v>1087</v>
      </c>
      <c r="R477" s="2">
        <v>135.41</v>
      </c>
      <c r="S477">
        <v>6</v>
      </c>
      <c r="T477" s="3">
        <v>0.3</v>
      </c>
      <c r="U477" s="2">
        <v>7.77</v>
      </c>
    </row>
    <row r="478" spans="1:21" x14ac:dyDescent="0.35">
      <c r="A478">
        <v>34</v>
      </c>
      <c r="B478" t="s">
        <v>1826</v>
      </c>
      <c r="C478" s="1">
        <v>45438</v>
      </c>
      <c r="D478" s="1">
        <v>45440</v>
      </c>
      <c r="E478" t="s">
        <v>290</v>
      </c>
      <c r="F478" t="s">
        <v>1827</v>
      </c>
      <c r="G478" t="s">
        <v>1624</v>
      </c>
      <c r="H478" t="s">
        <v>25</v>
      </c>
      <c r="I478" t="s">
        <v>26</v>
      </c>
      <c r="J478" t="s">
        <v>82</v>
      </c>
      <c r="K478" t="s">
        <v>82</v>
      </c>
      <c r="L478">
        <v>85880</v>
      </c>
      <c r="M478" t="s">
        <v>28</v>
      </c>
      <c r="N478" t="s">
        <v>1828</v>
      </c>
      <c r="O478" t="s">
        <v>41</v>
      </c>
      <c r="P478" t="s">
        <v>170</v>
      </c>
      <c r="Q478" t="s">
        <v>894</v>
      </c>
      <c r="R478" s="2">
        <v>11.44</v>
      </c>
      <c r="S478">
        <v>7</v>
      </c>
      <c r="T478" s="3">
        <v>0.1</v>
      </c>
      <c r="U478" s="2">
        <v>1.74</v>
      </c>
    </row>
    <row r="479" spans="1:21" x14ac:dyDescent="0.35">
      <c r="A479">
        <v>526</v>
      </c>
      <c r="B479" t="s">
        <v>1829</v>
      </c>
      <c r="C479" s="1">
        <v>45442</v>
      </c>
      <c r="D479" s="1">
        <v>45445</v>
      </c>
      <c r="E479" t="s">
        <v>45</v>
      </c>
      <c r="F479" t="s">
        <v>1830</v>
      </c>
      <c r="G479" t="s">
        <v>186</v>
      </c>
      <c r="H479" t="s">
        <v>25</v>
      </c>
      <c r="I479" t="s">
        <v>26</v>
      </c>
      <c r="J479" t="s">
        <v>204</v>
      </c>
      <c r="K479" t="s">
        <v>204</v>
      </c>
      <c r="L479">
        <v>76567</v>
      </c>
      <c r="M479" t="s">
        <v>39</v>
      </c>
      <c r="N479" t="s">
        <v>1831</v>
      </c>
      <c r="O479" t="s">
        <v>30</v>
      </c>
      <c r="P479" t="s">
        <v>157</v>
      </c>
      <c r="Q479" t="s">
        <v>1832</v>
      </c>
      <c r="R479" s="2">
        <v>56.08</v>
      </c>
      <c r="S479">
        <v>7</v>
      </c>
      <c r="T479" s="3">
        <v>0.2</v>
      </c>
      <c r="U479" s="2">
        <v>1.1399999999999999</v>
      </c>
    </row>
    <row r="480" spans="1:21" x14ac:dyDescent="0.35">
      <c r="A480">
        <v>414</v>
      </c>
      <c r="B480" t="s">
        <v>1833</v>
      </c>
      <c r="C480" s="1">
        <v>45442</v>
      </c>
      <c r="D480" s="1">
        <v>45445</v>
      </c>
      <c r="E480" t="s">
        <v>45</v>
      </c>
      <c r="F480" t="s">
        <v>1834</v>
      </c>
      <c r="G480" t="s">
        <v>590</v>
      </c>
      <c r="H480" t="s">
        <v>54</v>
      </c>
      <c r="I480" t="s">
        <v>26</v>
      </c>
      <c r="J480" t="s">
        <v>277</v>
      </c>
      <c r="K480" t="s">
        <v>277</v>
      </c>
      <c r="L480">
        <v>20150</v>
      </c>
      <c r="M480" t="s">
        <v>56</v>
      </c>
      <c r="N480" t="s">
        <v>1725</v>
      </c>
      <c r="O480" t="s">
        <v>30</v>
      </c>
      <c r="P480" t="s">
        <v>100</v>
      </c>
      <c r="Q480" t="s">
        <v>427</v>
      </c>
      <c r="R480" s="2">
        <v>196.13</v>
      </c>
      <c r="S480">
        <v>4</v>
      </c>
      <c r="T480" s="3">
        <v>0</v>
      </c>
      <c r="U480" s="2">
        <v>42.62</v>
      </c>
    </row>
    <row r="481" spans="1:21" x14ac:dyDescent="0.35">
      <c r="A481">
        <v>252</v>
      </c>
      <c r="B481" t="s">
        <v>1835</v>
      </c>
      <c r="C481" s="1">
        <v>45443</v>
      </c>
      <c r="D481" s="1">
        <v>45447</v>
      </c>
      <c r="E481" t="s">
        <v>34</v>
      </c>
      <c r="F481" t="s">
        <v>1836</v>
      </c>
      <c r="G481" t="s">
        <v>276</v>
      </c>
      <c r="H481" t="s">
        <v>54</v>
      </c>
      <c r="I481" t="s">
        <v>26</v>
      </c>
      <c r="J481" t="s">
        <v>122</v>
      </c>
      <c r="K481" t="s">
        <v>122</v>
      </c>
      <c r="L481">
        <v>29601</v>
      </c>
      <c r="M481" t="s">
        <v>65</v>
      </c>
      <c r="N481" t="s">
        <v>1837</v>
      </c>
      <c r="O481" t="s">
        <v>41</v>
      </c>
      <c r="P481" t="s">
        <v>106</v>
      </c>
      <c r="Q481" t="s">
        <v>1838</v>
      </c>
      <c r="R481" s="2">
        <v>102.02</v>
      </c>
      <c r="S481">
        <v>2</v>
      </c>
      <c r="T481" s="3">
        <v>0.05</v>
      </c>
      <c r="U481" s="2">
        <v>22.34</v>
      </c>
    </row>
    <row r="482" spans="1:21" x14ac:dyDescent="0.35">
      <c r="A482">
        <v>160</v>
      </c>
      <c r="B482" t="s">
        <v>1839</v>
      </c>
      <c r="C482" s="1">
        <v>45444</v>
      </c>
      <c r="D482" s="1">
        <v>45447</v>
      </c>
      <c r="E482" t="s">
        <v>45</v>
      </c>
      <c r="F482" t="s">
        <v>1840</v>
      </c>
      <c r="G482" t="s">
        <v>292</v>
      </c>
      <c r="H482" t="s">
        <v>54</v>
      </c>
      <c r="I482" t="s">
        <v>26</v>
      </c>
      <c r="J482" t="s">
        <v>162</v>
      </c>
      <c r="K482" t="s">
        <v>162</v>
      </c>
      <c r="L482">
        <v>31083</v>
      </c>
      <c r="M482" t="s">
        <v>28</v>
      </c>
      <c r="N482" t="s">
        <v>1841</v>
      </c>
      <c r="O482" t="s">
        <v>30</v>
      </c>
      <c r="P482" t="s">
        <v>100</v>
      </c>
      <c r="Q482" t="s">
        <v>273</v>
      </c>
      <c r="R482" s="2">
        <v>115.6</v>
      </c>
      <c r="S482">
        <v>3</v>
      </c>
      <c r="T482" s="3">
        <v>0.05</v>
      </c>
      <c r="U482" s="2">
        <v>10.48</v>
      </c>
    </row>
    <row r="483" spans="1:21" x14ac:dyDescent="0.35">
      <c r="A483">
        <v>79</v>
      </c>
      <c r="B483" t="s">
        <v>1842</v>
      </c>
      <c r="C483" s="1">
        <v>45445</v>
      </c>
      <c r="D483" s="1">
        <v>45449</v>
      </c>
      <c r="E483" t="s">
        <v>22</v>
      </c>
      <c r="F483" t="s">
        <v>1843</v>
      </c>
      <c r="G483" t="s">
        <v>63</v>
      </c>
      <c r="H483" t="s">
        <v>25</v>
      </c>
      <c r="I483" t="s">
        <v>26</v>
      </c>
      <c r="J483" t="s">
        <v>38</v>
      </c>
      <c r="K483" t="s">
        <v>38</v>
      </c>
      <c r="L483">
        <v>94976</v>
      </c>
      <c r="M483" t="s">
        <v>39</v>
      </c>
      <c r="N483" t="s">
        <v>1844</v>
      </c>
      <c r="O483" t="s">
        <v>41</v>
      </c>
      <c r="P483" t="s">
        <v>151</v>
      </c>
      <c r="Q483" t="s">
        <v>164</v>
      </c>
      <c r="R483" s="2">
        <v>9.76</v>
      </c>
      <c r="S483">
        <v>6</v>
      </c>
      <c r="T483" s="3">
        <v>0.05</v>
      </c>
      <c r="U483" s="2">
        <v>1.39</v>
      </c>
    </row>
    <row r="484" spans="1:21" x14ac:dyDescent="0.35">
      <c r="A484">
        <v>499</v>
      </c>
      <c r="B484" t="s">
        <v>1845</v>
      </c>
      <c r="C484" s="1">
        <v>45445</v>
      </c>
      <c r="D484" s="1">
        <v>45449</v>
      </c>
      <c r="E484" t="s">
        <v>45</v>
      </c>
      <c r="F484" t="s">
        <v>1846</v>
      </c>
      <c r="G484" t="s">
        <v>1092</v>
      </c>
      <c r="H484" t="s">
        <v>25</v>
      </c>
      <c r="I484" t="s">
        <v>26</v>
      </c>
      <c r="J484" t="s">
        <v>55</v>
      </c>
      <c r="K484" t="s">
        <v>55</v>
      </c>
      <c r="L484">
        <v>43359</v>
      </c>
      <c r="M484" t="s">
        <v>56</v>
      </c>
      <c r="N484" t="s">
        <v>1847</v>
      </c>
      <c r="O484" t="s">
        <v>58</v>
      </c>
      <c r="P484" t="s">
        <v>89</v>
      </c>
      <c r="Q484" t="s">
        <v>1359</v>
      </c>
      <c r="R484" s="2">
        <v>227</v>
      </c>
      <c r="S484">
        <v>6</v>
      </c>
      <c r="T484" s="3">
        <v>0.1</v>
      </c>
      <c r="U484" s="2">
        <v>57.85</v>
      </c>
    </row>
    <row r="485" spans="1:21" x14ac:dyDescent="0.35">
      <c r="A485">
        <v>71</v>
      </c>
      <c r="B485" t="s">
        <v>1848</v>
      </c>
      <c r="C485" s="1">
        <v>45446</v>
      </c>
      <c r="D485" s="1">
        <v>45450</v>
      </c>
      <c r="E485" t="s">
        <v>34</v>
      </c>
      <c r="F485" t="s">
        <v>1849</v>
      </c>
      <c r="G485" t="s">
        <v>892</v>
      </c>
      <c r="H485" t="s">
        <v>25</v>
      </c>
      <c r="I485" t="s">
        <v>26</v>
      </c>
      <c r="J485" t="s">
        <v>71</v>
      </c>
      <c r="K485" t="s">
        <v>71</v>
      </c>
      <c r="L485">
        <v>52874</v>
      </c>
      <c r="M485" t="s">
        <v>56</v>
      </c>
      <c r="N485" t="s">
        <v>1850</v>
      </c>
      <c r="O485" t="s">
        <v>30</v>
      </c>
      <c r="P485" t="s">
        <v>157</v>
      </c>
      <c r="Q485" t="s">
        <v>572</v>
      </c>
      <c r="R485" s="2">
        <v>89.8</v>
      </c>
      <c r="S485">
        <v>7</v>
      </c>
      <c r="T485" s="3">
        <v>0.05</v>
      </c>
      <c r="U485" s="2">
        <v>17.149999999999999</v>
      </c>
    </row>
    <row r="486" spans="1:21" x14ac:dyDescent="0.35">
      <c r="A486">
        <v>374</v>
      </c>
      <c r="B486" t="s">
        <v>1851</v>
      </c>
      <c r="C486" s="1">
        <v>45448</v>
      </c>
      <c r="D486" s="1">
        <v>45452</v>
      </c>
      <c r="E486" t="s">
        <v>45</v>
      </c>
      <c r="F486" t="s">
        <v>1852</v>
      </c>
      <c r="G486" t="s">
        <v>232</v>
      </c>
      <c r="H486" t="s">
        <v>25</v>
      </c>
      <c r="I486" t="s">
        <v>26</v>
      </c>
      <c r="J486" t="s">
        <v>168</v>
      </c>
      <c r="K486" t="s">
        <v>168</v>
      </c>
      <c r="L486">
        <v>41362</v>
      </c>
      <c r="M486" t="s">
        <v>28</v>
      </c>
      <c r="N486" t="s">
        <v>374</v>
      </c>
      <c r="O486" t="s">
        <v>30</v>
      </c>
      <c r="P486" t="s">
        <v>100</v>
      </c>
      <c r="Q486" t="s">
        <v>279</v>
      </c>
      <c r="R486" s="2">
        <v>170.15</v>
      </c>
      <c r="S486">
        <v>1</v>
      </c>
      <c r="T486" s="3">
        <v>0</v>
      </c>
      <c r="U486" s="2">
        <v>27.6</v>
      </c>
    </row>
    <row r="487" spans="1:21" x14ac:dyDescent="0.35">
      <c r="A487">
        <v>282</v>
      </c>
      <c r="B487" t="s">
        <v>1853</v>
      </c>
      <c r="C487" s="1">
        <v>45451</v>
      </c>
      <c r="D487" s="1">
        <v>45453</v>
      </c>
      <c r="E487" t="s">
        <v>34</v>
      </c>
      <c r="F487" t="s">
        <v>1854</v>
      </c>
      <c r="G487" t="s">
        <v>155</v>
      </c>
      <c r="H487" t="s">
        <v>25</v>
      </c>
      <c r="I487" t="s">
        <v>26</v>
      </c>
      <c r="J487" t="s">
        <v>64</v>
      </c>
      <c r="K487" t="s">
        <v>64</v>
      </c>
      <c r="L487">
        <v>52674</v>
      </c>
      <c r="M487" t="s">
        <v>65</v>
      </c>
      <c r="N487" t="s">
        <v>1855</v>
      </c>
      <c r="O487" t="s">
        <v>30</v>
      </c>
      <c r="P487" t="s">
        <v>176</v>
      </c>
      <c r="Q487" t="s">
        <v>1856</v>
      </c>
      <c r="R487" s="2">
        <v>205.49</v>
      </c>
      <c r="S487">
        <v>7</v>
      </c>
      <c r="T487" s="3">
        <v>0.3</v>
      </c>
      <c r="U487" s="2">
        <v>-15.88</v>
      </c>
    </row>
    <row r="488" spans="1:21" x14ac:dyDescent="0.35">
      <c r="A488">
        <v>577</v>
      </c>
      <c r="B488" t="s">
        <v>1857</v>
      </c>
      <c r="C488" s="1">
        <v>45453</v>
      </c>
      <c r="D488" s="1">
        <v>45457</v>
      </c>
      <c r="E488" t="s">
        <v>34</v>
      </c>
      <c r="F488" t="s">
        <v>1858</v>
      </c>
      <c r="G488" t="s">
        <v>861</v>
      </c>
      <c r="H488" t="s">
        <v>25</v>
      </c>
      <c r="I488" t="s">
        <v>26</v>
      </c>
      <c r="J488" t="s">
        <v>187</v>
      </c>
      <c r="K488" t="s">
        <v>187</v>
      </c>
      <c r="L488">
        <v>71836</v>
      </c>
      <c r="M488" t="s">
        <v>39</v>
      </c>
      <c r="N488" t="s">
        <v>312</v>
      </c>
      <c r="O488" t="s">
        <v>58</v>
      </c>
      <c r="P488" t="s">
        <v>112</v>
      </c>
      <c r="Q488" t="s">
        <v>1159</v>
      </c>
      <c r="R488" s="2">
        <v>561.08000000000004</v>
      </c>
      <c r="S488">
        <v>5</v>
      </c>
      <c r="T488" s="3">
        <v>0.15</v>
      </c>
      <c r="U488" s="2">
        <v>60.13</v>
      </c>
    </row>
    <row r="489" spans="1:21" x14ac:dyDescent="0.35">
      <c r="A489">
        <v>490</v>
      </c>
      <c r="B489" t="s">
        <v>1859</v>
      </c>
      <c r="C489" s="1">
        <v>45454</v>
      </c>
      <c r="D489" s="1">
        <v>45458</v>
      </c>
      <c r="E489" t="s">
        <v>34</v>
      </c>
      <c r="F489" t="s">
        <v>1860</v>
      </c>
      <c r="G489" t="s">
        <v>232</v>
      </c>
      <c r="H489" t="s">
        <v>25</v>
      </c>
      <c r="I489" t="s">
        <v>26</v>
      </c>
      <c r="J489" t="s">
        <v>82</v>
      </c>
      <c r="K489" t="s">
        <v>82</v>
      </c>
      <c r="L489">
        <v>53151</v>
      </c>
      <c r="M489" t="s">
        <v>28</v>
      </c>
      <c r="N489" t="s">
        <v>1861</v>
      </c>
      <c r="O489" t="s">
        <v>58</v>
      </c>
      <c r="P489" t="s">
        <v>307</v>
      </c>
      <c r="Q489" t="s">
        <v>1709</v>
      </c>
      <c r="R489" s="2">
        <v>341.98</v>
      </c>
      <c r="S489">
        <v>6</v>
      </c>
      <c r="T489" s="3">
        <v>0.05</v>
      </c>
      <c r="U489" s="2">
        <v>72.62</v>
      </c>
    </row>
    <row r="490" spans="1:21" x14ac:dyDescent="0.35">
      <c r="A490">
        <v>505</v>
      </c>
      <c r="B490" t="s">
        <v>1862</v>
      </c>
      <c r="C490" s="1">
        <v>45459</v>
      </c>
      <c r="D490" s="1">
        <v>45463</v>
      </c>
      <c r="E490" t="s">
        <v>34</v>
      </c>
      <c r="F490" t="s">
        <v>1863</v>
      </c>
      <c r="G490" t="s">
        <v>434</v>
      </c>
      <c r="H490" t="s">
        <v>54</v>
      </c>
      <c r="I490" t="s">
        <v>26</v>
      </c>
      <c r="J490" t="s">
        <v>122</v>
      </c>
      <c r="K490" t="s">
        <v>122</v>
      </c>
      <c r="L490">
        <v>75206</v>
      </c>
      <c r="M490" t="s">
        <v>65</v>
      </c>
      <c r="N490" t="s">
        <v>327</v>
      </c>
      <c r="O490" t="s">
        <v>41</v>
      </c>
      <c r="P490" t="s">
        <v>134</v>
      </c>
      <c r="Q490" t="s">
        <v>1864</v>
      </c>
      <c r="R490" s="2">
        <v>122.09</v>
      </c>
      <c r="S490">
        <v>3</v>
      </c>
      <c r="T490" s="3">
        <v>0</v>
      </c>
      <c r="U490" s="2">
        <v>33.590000000000003</v>
      </c>
    </row>
    <row r="491" spans="1:21" x14ac:dyDescent="0.35">
      <c r="A491">
        <v>212</v>
      </c>
      <c r="B491" t="s">
        <v>1865</v>
      </c>
      <c r="C491" s="1">
        <v>45460</v>
      </c>
      <c r="D491" s="1">
        <v>45461</v>
      </c>
      <c r="E491" t="s">
        <v>34</v>
      </c>
      <c r="F491" t="s">
        <v>1866</v>
      </c>
      <c r="G491" t="s">
        <v>652</v>
      </c>
      <c r="H491" t="s">
        <v>54</v>
      </c>
      <c r="I491" t="s">
        <v>26</v>
      </c>
      <c r="J491" t="s">
        <v>472</v>
      </c>
      <c r="K491" t="s">
        <v>472</v>
      </c>
      <c r="L491">
        <v>16476</v>
      </c>
      <c r="M491" t="s">
        <v>56</v>
      </c>
      <c r="N491" t="s">
        <v>1867</v>
      </c>
      <c r="O491" t="s">
        <v>41</v>
      </c>
      <c r="P491" t="s">
        <v>106</v>
      </c>
      <c r="Q491" t="s">
        <v>778</v>
      </c>
      <c r="R491" s="2">
        <v>37.81</v>
      </c>
      <c r="S491">
        <v>4</v>
      </c>
      <c r="T491" s="3">
        <v>0.3</v>
      </c>
      <c r="U491" s="2">
        <v>0.99</v>
      </c>
    </row>
    <row r="492" spans="1:21" x14ac:dyDescent="0.35">
      <c r="A492">
        <v>525</v>
      </c>
      <c r="B492" t="s">
        <v>1868</v>
      </c>
      <c r="C492" s="1">
        <v>45462</v>
      </c>
      <c r="D492" s="1">
        <v>45463</v>
      </c>
      <c r="E492" t="s">
        <v>34</v>
      </c>
      <c r="F492" t="s">
        <v>1869</v>
      </c>
      <c r="G492" t="s">
        <v>826</v>
      </c>
      <c r="H492" t="s">
        <v>25</v>
      </c>
      <c r="I492" t="s">
        <v>26</v>
      </c>
      <c r="J492" t="s">
        <v>204</v>
      </c>
      <c r="K492" t="s">
        <v>204</v>
      </c>
      <c r="L492">
        <v>21322</v>
      </c>
      <c r="M492" t="s">
        <v>39</v>
      </c>
      <c r="N492" t="s">
        <v>1870</v>
      </c>
      <c r="O492" t="s">
        <v>41</v>
      </c>
      <c r="P492" t="s">
        <v>134</v>
      </c>
      <c r="Q492" t="s">
        <v>1871</v>
      </c>
      <c r="R492" s="2">
        <v>25.38</v>
      </c>
      <c r="S492">
        <v>3</v>
      </c>
      <c r="T492" s="3">
        <v>0.05</v>
      </c>
      <c r="U492" s="2">
        <v>4.93</v>
      </c>
    </row>
    <row r="493" spans="1:21" x14ac:dyDescent="0.35">
      <c r="A493">
        <v>511</v>
      </c>
      <c r="B493" t="s">
        <v>1872</v>
      </c>
      <c r="C493" s="1">
        <v>45463</v>
      </c>
      <c r="D493" s="1">
        <v>45466</v>
      </c>
      <c r="E493" t="s">
        <v>22</v>
      </c>
      <c r="F493" t="s">
        <v>1873</v>
      </c>
      <c r="G493" t="s">
        <v>998</v>
      </c>
      <c r="H493" t="s">
        <v>54</v>
      </c>
      <c r="I493" t="s">
        <v>26</v>
      </c>
      <c r="J493" t="s">
        <v>193</v>
      </c>
      <c r="K493" t="s">
        <v>193</v>
      </c>
      <c r="L493">
        <v>93346</v>
      </c>
      <c r="M493" t="s">
        <v>39</v>
      </c>
      <c r="N493" t="s">
        <v>1142</v>
      </c>
      <c r="O493" t="s">
        <v>41</v>
      </c>
      <c r="P493" t="s">
        <v>42</v>
      </c>
      <c r="Q493" t="s">
        <v>78</v>
      </c>
      <c r="R493" s="2">
        <v>22.35</v>
      </c>
      <c r="S493">
        <v>4</v>
      </c>
      <c r="T493" s="3">
        <v>0.5</v>
      </c>
      <c r="U493" s="2">
        <v>-3.2</v>
      </c>
    </row>
    <row r="494" spans="1:21" x14ac:dyDescent="0.35">
      <c r="A494">
        <v>398</v>
      </c>
      <c r="B494" t="s">
        <v>1874</v>
      </c>
      <c r="C494" s="1">
        <v>45466</v>
      </c>
      <c r="D494" s="1">
        <v>45472</v>
      </c>
      <c r="E494" t="s">
        <v>34</v>
      </c>
      <c r="F494" t="s">
        <v>1875</v>
      </c>
      <c r="G494" t="s">
        <v>138</v>
      </c>
      <c r="H494" t="s">
        <v>25</v>
      </c>
      <c r="I494" t="s">
        <v>26</v>
      </c>
      <c r="J494" t="s">
        <v>38</v>
      </c>
      <c r="K494" t="s">
        <v>38</v>
      </c>
      <c r="L494">
        <v>13771</v>
      </c>
      <c r="M494" t="s">
        <v>39</v>
      </c>
      <c r="N494" t="s">
        <v>1876</v>
      </c>
      <c r="O494" t="s">
        <v>41</v>
      </c>
      <c r="P494" t="s">
        <v>134</v>
      </c>
      <c r="Q494" t="s">
        <v>695</v>
      </c>
      <c r="R494" s="2">
        <v>83.65</v>
      </c>
      <c r="S494">
        <v>1</v>
      </c>
      <c r="T494" s="3">
        <v>0.2</v>
      </c>
      <c r="U494" s="2">
        <v>2.0499999999999998</v>
      </c>
    </row>
    <row r="495" spans="1:21" x14ac:dyDescent="0.35">
      <c r="A495">
        <v>228</v>
      </c>
      <c r="B495" t="s">
        <v>1877</v>
      </c>
      <c r="C495" s="1">
        <v>45467</v>
      </c>
      <c r="D495" s="1">
        <v>45468</v>
      </c>
      <c r="E495" t="s">
        <v>34</v>
      </c>
      <c r="F495" t="s">
        <v>1878</v>
      </c>
      <c r="G495" t="s">
        <v>326</v>
      </c>
      <c r="H495" t="s">
        <v>54</v>
      </c>
      <c r="I495" t="s">
        <v>26</v>
      </c>
      <c r="J495" t="s">
        <v>38</v>
      </c>
      <c r="K495" t="s">
        <v>38</v>
      </c>
      <c r="L495">
        <v>25408</v>
      </c>
      <c r="M495" t="s">
        <v>39</v>
      </c>
      <c r="N495" t="s">
        <v>1879</v>
      </c>
      <c r="O495" t="s">
        <v>30</v>
      </c>
      <c r="P495" t="s">
        <v>176</v>
      </c>
      <c r="Q495" t="s">
        <v>1880</v>
      </c>
      <c r="R495" s="2">
        <v>119.63</v>
      </c>
      <c r="S495">
        <v>3</v>
      </c>
      <c r="T495" s="3">
        <v>0.1</v>
      </c>
      <c r="U495" s="2">
        <v>2.91</v>
      </c>
    </row>
    <row r="496" spans="1:21" x14ac:dyDescent="0.35">
      <c r="A496">
        <v>162</v>
      </c>
      <c r="B496" t="s">
        <v>1881</v>
      </c>
      <c r="C496" s="1">
        <v>45467</v>
      </c>
      <c r="D496" s="1">
        <v>45469</v>
      </c>
      <c r="E496" t="s">
        <v>34</v>
      </c>
      <c r="F496" t="s">
        <v>1005</v>
      </c>
      <c r="G496" t="s">
        <v>793</v>
      </c>
      <c r="H496" t="s">
        <v>37</v>
      </c>
      <c r="I496" t="s">
        <v>26</v>
      </c>
      <c r="J496" t="s">
        <v>55</v>
      </c>
      <c r="K496" t="s">
        <v>55</v>
      </c>
      <c r="L496">
        <v>22866</v>
      </c>
      <c r="M496" t="s">
        <v>56</v>
      </c>
      <c r="N496" t="s">
        <v>430</v>
      </c>
      <c r="O496" t="s">
        <v>41</v>
      </c>
      <c r="P496" t="s">
        <v>73</v>
      </c>
      <c r="Q496" t="s">
        <v>1882</v>
      </c>
      <c r="R496" s="2">
        <v>108.46</v>
      </c>
      <c r="S496">
        <v>3</v>
      </c>
      <c r="T496" s="3">
        <v>0.5</v>
      </c>
      <c r="U496" s="2">
        <v>-10.53</v>
      </c>
    </row>
    <row r="497" spans="1:21" x14ac:dyDescent="0.35">
      <c r="A497">
        <v>99</v>
      </c>
      <c r="B497" t="s">
        <v>1883</v>
      </c>
      <c r="C497" s="1">
        <v>45470</v>
      </c>
      <c r="D497" s="1">
        <v>45472</v>
      </c>
      <c r="E497" t="s">
        <v>22</v>
      </c>
      <c r="F497" t="s">
        <v>1884</v>
      </c>
      <c r="G497" t="s">
        <v>496</v>
      </c>
      <c r="H497" t="s">
        <v>25</v>
      </c>
      <c r="I497" t="s">
        <v>26</v>
      </c>
      <c r="J497" t="s">
        <v>38</v>
      </c>
      <c r="K497" t="s">
        <v>38</v>
      </c>
      <c r="L497">
        <v>75429</v>
      </c>
      <c r="M497" t="s">
        <v>39</v>
      </c>
      <c r="N497" t="s">
        <v>228</v>
      </c>
      <c r="O497" t="s">
        <v>30</v>
      </c>
      <c r="P497" t="s">
        <v>157</v>
      </c>
      <c r="Q497" t="s">
        <v>1398</v>
      </c>
      <c r="R497" s="2">
        <v>372.94</v>
      </c>
      <c r="S497">
        <v>5</v>
      </c>
      <c r="T497" s="3">
        <v>0.2</v>
      </c>
      <c r="U497" s="2">
        <v>-3.13</v>
      </c>
    </row>
    <row r="498" spans="1:21" x14ac:dyDescent="0.35">
      <c r="A498">
        <v>164</v>
      </c>
      <c r="B498" t="s">
        <v>1885</v>
      </c>
      <c r="C498" s="1">
        <v>45471</v>
      </c>
      <c r="D498" s="1">
        <v>45475</v>
      </c>
      <c r="E498" t="s">
        <v>34</v>
      </c>
      <c r="F498" t="s">
        <v>1886</v>
      </c>
      <c r="G498" t="s">
        <v>1558</v>
      </c>
      <c r="H498" t="s">
        <v>54</v>
      </c>
      <c r="I498" t="s">
        <v>26</v>
      </c>
      <c r="J498" t="s">
        <v>181</v>
      </c>
      <c r="K498" t="s">
        <v>181</v>
      </c>
      <c r="L498">
        <v>73671</v>
      </c>
      <c r="M498" t="s">
        <v>65</v>
      </c>
      <c r="N498" t="s">
        <v>1561</v>
      </c>
      <c r="O498" t="s">
        <v>41</v>
      </c>
      <c r="P498" t="s">
        <v>42</v>
      </c>
      <c r="Q498" t="s">
        <v>615</v>
      </c>
      <c r="R498" s="2">
        <v>30.08</v>
      </c>
      <c r="S498">
        <v>7</v>
      </c>
      <c r="T498" s="3">
        <v>0.3</v>
      </c>
      <c r="U498" s="2">
        <v>0.42</v>
      </c>
    </row>
    <row r="499" spans="1:21" x14ac:dyDescent="0.35">
      <c r="A499">
        <v>151</v>
      </c>
      <c r="B499" t="s">
        <v>1887</v>
      </c>
      <c r="C499" s="1">
        <v>45471</v>
      </c>
      <c r="D499" s="1">
        <v>45475</v>
      </c>
      <c r="E499" t="s">
        <v>45</v>
      </c>
      <c r="F499" t="s">
        <v>1888</v>
      </c>
      <c r="G499" t="s">
        <v>369</v>
      </c>
      <c r="H499" t="s">
        <v>54</v>
      </c>
      <c r="I499" t="s">
        <v>26</v>
      </c>
      <c r="J499" t="s">
        <v>127</v>
      </c>
      <c r="K499" t="s">
        <v>127</v>
      </c>
      <c r="L499">
        <v>12282</v>
      </c>
      <c r="M499" t="s">
        <v>56</v>
      </c>
      <c r="N499" t="s">
        <v>1889</v>
      </c>
      <c r="O499" t="s">
        <v>30</v>
      </c>
      <c r="P499" t="s">
        <v>176</v>
      </c>
      <c r="Q499" t="s">
        <v>441</v>
      </c>
      <c r="R499" s="2">
        <v>88.79</v>
      </c>
      <c r="S499">
        <v>5</v>
      </c>
      <c r="T499" s="3">
        <v>0</v>
      </c>
      <c r="U499" s="2">
        <v>10.97</v>
      </c>
    </row>
    <row r="500" spans="1:21" x14ac:dyDescent="0.35">
      <c r="A500">
        <v>59</v>
      </c>
      <c r="B500" t="s">
        <v>1890</v>
      </c>
      <c r="C500" s="1">
        <v>45476</v>
      </c>
      <c r="D500" s="1">
        <v>45479</v>
      </c>
      <c r="E500" t="s">
        <v>34</v>
      </c>
      <c r="F500" t="s">
        <v>1891</v>
      </c>
      <c r="G500" t="s">
        <v>104</v>
      </c>
      <c r="H500" t="s">
        <v>37</v>
      </c>
      <c r="I500" t="s">
        <v>26</v>
      </c>
      <c r="J500" t="s">
        <v>162</v>
      </c>
      <c r="K500" t="s">
        <v>162</v>
      </c>
      <c r="L500">
        <v>72516</v>
      </c>
      <c r="M500" t="s">
        <v>28</v>
      </c>
      <c r="N500" t="s">
        <v>1892</v>
      </c>
      <c r="O500" t="s">
        <v>41</v>
      </c>
      <c r="P500" t="s">
        <v>170</v>
      </c>
      <c r="Q500" t="s">
        <v>1893</v>
      </c>
      <c r="R500" s="2">
        <v>43.74</v>
      </c>
      <c r="S500">
        <v>4</v>
      </c>
      <c r="T500" s="3">
        <v>0.2</v>
      </c>
      <c r="U500" s="2">
        <v>4.99</v>
      </c>
    </row>
    <row r="501" spans="1:21" x14ac:dyDescent="0.35">
      <c r="A501">
        <v>77</v>
      </c>
      <c r="B501" t="s">
        <v>1894</v>
      </c>
      <c r="C501" s="1">
        <v>45477</v>
      </c>
      <c r="D501" s="1">
        <v>45481</v>
      </c>
      <c r="E501" t="s">
        <v>34</v>
      </c>
      <c r="F501" t="s">
        <v>1895</v>
      </c>
      <c r="G501" t="s">
        <v>232</v>
      </c>
      <c r="H501" t="s">
        <v>37</v>
      </c>
      <c r="I501" t="s">
        <v>26</v>
      </c>
      <c r="J501" t="s">
        <v>71</v>
      </c>
      <c r="K501" t="s">
        <v>71</v>
      </c>
      <c r="L501">
        <v>31195</v>
      </c>
      <c r="M501" t="s">
        <v>56</v>
      </c>
      <c r="N501" t="s">
        <v>1179</v>
      </c>
      <c r="O501" t="s">
        <v>58</v>
      </c>
      <c r="P501" t="s">
        <v>89</v>
      </c>
      <c r="Q501" t="s">
        <v>1896</v>
      </c>
      <c r="R501" s="2">
        <v>123.09</v>
      </c>
      <c r="S501">
        <v>2</v>
      </c>
      <c r="T501" s="3">
        <v>0.3</v>
      </c>
      <c r="U501" s="2">
        <v>7.16</v>
      </c>
    </row>
    <row r="502" spans="1:21" x14ac:dyDescent="0.35">
      <c r="A502">
        <v>471</v>
      </c>
      <c r="B502" t="s">
        <v>1897</v>
      </c>
      <c r="C502" s="1">
        <v>45477</v>
      </c>
      <c r="D502" s="1">
        <v>45479</v>
      </c>
      <c r="E502" t="s">
        <v>34</v>
      </c>
      <c r="F502" t="s">
        <v>1898</v>
      </c>
      <c r="G502" t="s">
        <v>180</v>
      </c>
      <c r="H502" t="s">
        <v>25</v>
      </c>
      <c r="I502" t="s">
        <v>26</v>
      </c>
      <c r="J502" t="s">
        <v>193</v>
      </c>
      <c r="K502" t="s">
        <v>193</v>
      </c>
      <c r="L502">
        <v>74591</v>
      </c>
      <c r="M502" t="s">
        <v>39</v>
      </c>
      <c r="N502" t="s">
        <v>988</v>
      </c>
      <c r="O502" t="s">
        <v>30</v>
      </c>
      <c r="P502" t="s">
        <v>100</v>
      </c>
      <c r="Q502" t="s">
        <v>1431</v>
      </c>
      <c r="R502" s="2">
        <v>21.57</v>
      </c>
      <c r="S502">
        <v>6</v>
      </c>
      <c r="T502" s="3">
        <v>0.2</v>
      </c>
      <c r="U502" s="2">
        <v>0.14000000000000001</v>
      </c>
    </row>
    <row r="503" spans="1:21" x14ac:dyDescent="0.35">
      <c r="A503">
        <v>550</v>
      </c>
      <c r="B503" t="s">
        <v>1899</v>
      </c>
      <c r="C503" s="1">
        <v>45480</v>
      </c>
      <c r="D503" s="1">
        <v>45483</v>
      </c>
      <c r="E503" t="s">
        <v>45</v>
      </c>
      <c r="F503" t="s">
        <v>1900</v>
      </c>
      <c r="G503" t="s">
        <v>81</v>
      </c>
      <c r="H503" t="s">
        <v>25</v>
      </c>
      <c r="I503" t="s">
        <v>26</v>
      </c>
      <c r="J503" t="s">
        <v>168</v>
      </c>
      <c r="K503" t="s">
        <v>168</v>
      </c>
      <c r="L503">
        <v>92238</v>
      </c>
      <c r="M503" t="s">
        <v>28</v>
      </c>
      <c r="N503" t="s">
        <v>1870</v>
      </c>
      <c r="O503" t="s">
        <v>58</v>
      </c>
      <c r="P503" t="s">
        <v>59</v>
      </c>
      <c r="Q503" t="s">
        <v>1302</v>
      </c>
      <c r="R503" s="2">
        <v>28.22</v>
      </c>
      <c r="S503">
        <v>7</v>
      </c>
      <c r="T503" s="3">
        <v>0.3</v>
      </c>
      <c r="U503" s="2">
        <v>2.23</v>
      </c>
    </row>
    <row r="504" spans="1:21" x14ac:dyDescent="0.35">
      <c r="A504">
        <v>221</v>
      </c>
      <c r="B504" t="s">
        <v>1901</v>
      </c>
      <c r="C504" s="1">
        <v>45481</v>
      </c>
      <c r="D504" s="1">
        <v>45485</v>
      </c>
      <c r="E504" t="s">
        <v>22</v>
      </c>
      <c r="F504" t="s">
        <v>1902</v>
      </c>
      <c r="G504" t="s">
        <v>1057</v>
      </c>
      <c r="H504" t="s">
        <v>25</v>
      </c>
      <c r="I504" t="s">
        <v>26</v>
      </c>
      <c r="J504" t="s">
        <v>168</v>
      </c>
      <c r="K504" t="s">
        <v>168</v>
      </c>
      <c r="L504">
        <v>43340</v>
      </c>
      <c r="M504" t="s">
        <v>28</v>
      </c>
      <c r="N504" t="s">
        <v>72</v>
      </c>
      <c r="O504" t="s">
        <v>41</v>
      </c>
      <c r="P504" t="s">
        <v>134</v>
      </c>
      <c r="Q504" t="s">
        <v>1385</v>
      </c>
      <c r="R504" s="2">
        <v>38.770000000000003</v>
      </c>
      <c r="S504">
        <v>2</v>
      </c>
      <c r="T504" s="3">
        <v>0.1</v>
      </c>
      <c r="U504" s="2">
        <v>5.77</v>
      </c>
    </row>
    <row r="505" spans="1:21" x14ac:dyDescent="0.35">
      <c r="A505">
        <v>518</v>
      </c>
      <c r="B505" t="s">
        <v>1903</v>
      </c>
      <c r="C505" s="1">
        <v>45484</v>
      </c>
      <c r="D505" s="1">
        <v>45490</v>
      </c>
      <c r="E505" t="s">
        <v>45</v>
      </c>
      <c r="F505" t="s">
        <v>1904</v>
      </c>
      <c r="G505" t="s">
        <v>1030</v>
      </c>
      <c r="H505" t="s">
        <v>25</v>
      </c>
      <c r="I505" t="s">
        <v>26</v>
      </c>
      <c r="J505" t="s">
        <v>233</v>
      </c>
      <c r="K505" t="s">
        <v>233</v>
      </c>
      <c r="L505">
        <v>66344</v>
      </c>
      <c r="M505" t="s">
        <v>65</v>
      </c>
      <c r="N505" t="s">
        <v>1905</v>
      </c>
      <c r="O505" t="s">
        <v>41</v>
      </c>
      <c r="P505" t="s">
        <v>106</v>
      </c>
      <c r="Q505" t="s">
        <v>491</v>
      </c>
      <c r="R505" s="2">
        <v>107.42</v>
      </c>
      <c r="S505">
        <v>1</v>
      </c>
      <c r="T505" s="3">
        <v>0.3</v>
      </c>
      <c r="U505" s="2">
        <v>5.14</v>
      </c>
    </row>
    <row r="506" spans="1:21" x14ac:dyDescent="0.35">
      <c r="A506">
        <v>210</v>
      </c>
      <c r="B506" t="s">
        <v>1906</v>
      </c>
      <c r="C506" s="1">
        <v>45486</v>
      </c>
      <c r="D506" s="1">
        <v>45489</v>
      </c>
      <c r="E506" t="s">
        <v>22</v>
      </c>
      <c r="F506" t="s">
        <v>266</v>
      </c>
      <c r="G506" t="s">
        <v>471</v>
      </c>
      <c r="H506" t="s">
        <v>25</v>
      </c>
      <c r="I506" t="s">
        <v>26</v>
      </c>
      <c r="J506" t="s">
        <v>162</v>
      </c>
      <c r="K506" t="s">
        <v>162</v>
      </c>
      <c r="L506">
        <v>50142</v>
      </c>
      <c r="M506" t="s">
        <v>28</v>
      </c>
      <c r="N506" t="s">
        <v>1907</v>
      </c>
      <c r="O506" t="s">
        <v>41</v>
      </c>
      <c r="P506" t="s">
        <v>42</v>
      </c>
      <c r="Q506" t="s">
        <v>189</v>
      </c>
      <c r="R506" s="2">
        <v>154.28</v>
      </c>
      <c r="S506">
        <v>5</v>
      </c>
      <c r="T506" s="3">
        <v>0.3</v>
      </c>
      <c r="U506" s="2">
        <v>5.59</v>
      </c>
    </row>
    <row r="507" spans="1:21" x14ac:dyDescent="0.35">
      <c r="A507">
        <v>388</v>
      </c>
      <c r="B507" t="s">
        <v>1908</v>
      </c>
      <c r="C507" s="1">
        <v>45489</v>
      </c>
      <c r="D507" s="1">
        <v>45491</v>
      </c>
      <c r="E507" t="s">
        <v>22</v>
      </c>
      <c r="F507" t="s">
        <v>1909</v>
      </c>
      <c r="G507" t="s">
        <v>167</v>
      </c>
      <c r="H507" t="s">
        <v>37</v>
      </c>
      <c r="I507" t="s">
        <v>26</v>
      </c>
      <c r="J507" t="s">
        <v>64</v>
      </c>
      <c r="K507" t="s">
        <v>64</v>
      </c>
      <c r="L507">
        <v>14792</v>
      </c>
      <c r="M507" t="s">
        <v>65</v>
      </c>
      <c r="N507" t="s">
        <v>1841</v>
      </c>
      <c r="O507" t="s">
        <v>30</v>
      </c>
      <c r="P507" t="s">
        <v>31</v>
      </c>
      <c r="Q507" t="s">
        <v>1910</v>
      </c>
      <c r="R507" s="2">
        <v>220.81</v>
      </c>
      <c r="S507">
        <v>1</v>
      </c>
      <c r="T507" s="3">
        <v>0</v>
      </c>
      <c r="U507" s="2">
        <v>53.36</v>
      </c>
    </row>
    <row r="508" spans="1:21" x14ac:dyDescent="0.35">
      <c r="A508">
        <v>17</v>
      </c>
      <c r="B508" t="s">
        <v>1911</v>
      </c>
      <c r="C508" s="1">
        <v>45489</v>
      </c>
      <c r="D508" s="1">
        <v>45494</v>
      </c>
      <c r="E508" t="s">
        <v>22</v>
      </c>
      <c r="F508" t="s">
        <v>1912</v>
      </c>
      <c r="G508" t="s">
        <v>861</v>
      </c>
      <c r="H508" t="s">
        <v>37</v>
      </c>
      <c r="I508" t="s">
        <v>26</v>
      </c>
      <c r="J508" t="s">
        <v>162</v>
      </c>
      <c r="K508" t="s">
        <v>162</v>
      </c>
      <c r="L508">
        <v>37751</v>
      </c>
      <c r="M508" t="s">
        <v>28</v>
      </c>
      <c r="N508" t="s">
        <v>199</v>
      </c>
      <c r="O508" t="s">
        <v>41</v>
      </c>
      <c r="P508" t="s">
        <v>106</v>
      </c>
      <c r="Q508" t="s">
        <v>1577</v>
      </c>
      <c r="R508" s="2">
        <v>59.7</v>
      </c>
      <c r="S508">
        <v>6</v>
      </c>
      <c r="T508" s="3">
        <v>0</v>
      </c>
      <c r="U508" s="2">
        <v>12.99</v>
      </c>
    </row>
    <row r="509" spans="1:21" x14ac:dyDescent="0.35">
      <c r="A509">
        <v>392</v>
      </c>
      <c r="B509" t="s">
        <v>1913</v>
      </c>
      <c r="C509" s="1">
        <v>45490</v>
      </c>
      <c r="D509" s="1">
        <v>45495</v>
      </c>
      <c r="E509" t="s">
        <v>45</v>
      </c>
      <c r="F509" t="s">
        <v>1914</v>
      </c>
      <c r="G509" t="s">
        <v>267</v>
      </c>
      <c r="H509" t="s">
        <v>54</v>
      </c>
      <c r="I509" t="s">
        <v>26</v>
      </c>
      <c r="J509" t="s">
        <v>71</v>
      </c>
      <c r="K509" t="s">
        <v>71</v>
      </c>
      <c r="L509">
        <v>54912</v>
      </c>
      <c r="M509" t="s">
        <v>56</v>
      </c>
      <c r="N509" t="s">
        <v>1915</v>
      </c>
      <c r="O509" t="s">
        <v>41</v>
      </c>
      <c r="P509" t="s">
        <v>134</v>
      </c>
      <c r="Q509" t="s">
        <v>1264</v>
      </c>
      <c r="R509" s="2">
        <v>139.12</v>
      </c>
      <c r="S509">
        <v>4</v>
      </c>
      <c r="T509" s="3">
        <v>0.5</v>
      </c>
      <c r="U509" s="2">
        <v>-21.6</v>
      </c>
    </row>
    <row r="510" spans="1:21" x14ac:dyDescent="0.35">
      <c r="A510">
        <v>569</v>
      </c>
      <c r="B510" t="s">
        <v>1916</v>
      </c>
      <c r="C510" s="1">
        <v>45494</v>
      </c>
      <c r="D510" s="1">
        <v>45495</v>
      </c>
      <c r="E510" t="s">
        <v>45</v>
      </c>
      <c r="F510" t="s">
        <v>1917</v>
      </c>
      <c r="G510" t="s">
        <v>47</v>
      </c>
      <c r="H510" t="s">
        <v>25</v>
      </c>
      <c r="I510" t="s">
        <v>26</v>
      </c>
      <c r="J510" t="s">
        <v>27</v>
      </c>
      <c r="K510" t="s">
        <v>27</v>
      </c>
      <c r="L510">
        <v>20129</v>
      </c>
      <c r="M510" t="s">
        <v>28</v>
      </c>
      <c r="N510" t="s">
        <v>322</v>
      </c>
      <c r="O510" t="s">
        <v>30</v>
      </c>
      <c r="P510" t="s">
        <v>157</v>
      </c>
      <c r="Q510" t="s">
        <v>1684</v>
      </c>
      <c r="R510" s="2">
        <v>148.01</v>
      </c>
      <c r="S510">
        <v>6</v>
      </c>
      <c r="T510" s="3">
        <v>0.3</v>
      </c>
      <c r="U510" s="2">
        <v>-11.85</v>
      </c>
    </row>
    <row r="511" spans="1:21" x14ac:dyDescent="0.35">
      <c r="A511">
        <v>143</v>
      </c>
      <c r="B511" t="s">
        <v>1918</v>
      </c>
      <c r="C511" s="1">
        <v>45495</v>
      </c>
      <c r="D511" s="1">
        <v>45497</v>
      </c>
      <c r="E511" t="s">
        <v>34</v>
      </c>
      <c r="F511" t="s">
        <v>1919</v>
      </c>
      <c r="G511" t="s">
        <v>1267</v>
      </c>
      <c r="H511" t="s">
        <v>25</v>
      </c>
      <c r="I511" t="s">
        <v>26</v>
      </c>
      <c r="J511" t="s">
        <v>27</v>
      </c>
      <c r="K511" t="s">
        <v>27</v>
      </c>
      <c r="L511">
        <v>60139</v>
      </c>
      <c r="M511" t="s">
        <v>28</v>
      </c>
      <c r="N511" t="s">
        <v>1082</v>
      </c>
      <c r="O511" t="s">
        <v>30</v>
      </c>
      <c r="P511" t="s">
        <v>157</v>
      </c>
      <c r="Q511" t="s">
        <v>1920</v>
      </c>
      <c r="R511" s="2">
        <v>99</v>
      </c>
      <c r="S511">
        <v>3</v>
      </c>
      <c r="T511" s="3">
        <v>0</v>
      </c>
      <c r="U511" s="2">
        <v>18.66</v>
      </c>
    </row>
    <row r="512" spans="1:21" x14ac:dyDescent="0.35">
      <c r="A512">
        <v>83</v>
      </c>
      <c r="B512" t="s">
        <v>1921</v>
      </c>
      <c r="C512" s="1">
        <v>45497</v>
      </c>
      <c r="D512" s="1">
        <v>45498</v>
      </c>
      <c r="E512" t="s">
        <v>34</v>
      </c>
      <c r="F512" t="s">
        <v>1922</v>
      </c>
      <c r="G512" t="s">
        <v>253</v>
      </c>
      <c r="H512" t="s">
        <v>25</v>
      </c>
      <c r="I512" t="s">
        <v>26</v>
      </c>
      <c r="J512" t="s">
        <v>331</v>
      </c>
      <c r="K512" t="s">
        <v>331</v>
      </c>
      <c r="L512">
        <v>91905</v>
      </c>
      <c r="M512" t="s">
        <v>28</v>
      </c>
      <c r="N512" t="s">
        <v>1712</v>
      </c>
      <c r="O512" t="s">
        <v>30</v>
      </c>
      <c r="P512" t="s">
        <v>31</v>
      </c>
      <c r="Q512" t="s">
        <v>32</v>
      </c>
      <c r="R512" s="2">
        <v>103.85</v>
      </c>
      <c r="S512">
        <v>6</v>
      </c>
      <c r="T512" s="3">
        <v>0.15</v>
      </c>
      <c r="U512" s="2">
        <v>9.44</v>
      </c>
    </row>
    <row r="513" spans="1:21" x14ac:dyDescent="0.35">
      <c r="A513">
        <v>542</v>
      </c>
      <c r="B513" t="s">
        <v>1923</v>
      </c>
      <c r="C513" s="1">
        <v>45498</v>
      </c>
      <c r="D513" s="1">
        <v>45500</v>
      </c>
      <c r="E513" t="s">
        <v>34</v>
      </c>
      <c r="F513" t="s">
        <v>1924</v>
      </c>
      <c r="G513" t="s">
        <v>116</v>
      </c>
      <c r="H513" t="s">
        <v>25</v>
      </c>
      <c r="I513" t="s">
        <v>26</v>
      </c>
      <c r="J513" t="s">
        <v>64</v>
      </c>
      <c r="K513" t="s">
        <v>64</v>
      </c>
      <c r="L513">
        <v>85783</v>
      </c>
      <c r="M513" t="s">
        <v>65</v>
      </c>
      <c r="N513" t="s">
        <v>1925</v>
      </c>
      <c r="O513" t="s">
        <v>41</v>
      </c>
      <c r="P513" t="s">
        <v>73</v>
      </c>
      <c r="Q513" t="s">
        <v>450</v>
      </c>
      <c r="R513" s="2">
        <v>35.130000000000003</v>
      </c>
      <c r="S513">
        <v>5</v>
      </c>
      <c r="T513" s="3">
        <v>0.1</v>
      </c>
      <c r="U513" s="2">
        <v>7.34</v>
      </c>
    </row>
    <row r="514" spans="1:21" x14ac:dyDescent="0.35">
      <c r="A514">
        <v>304</v>
      </c>
      <c r="B514" t="s">
        <v>1926</v>
      </c>
      <c r="C514" s="1">
        <v>45500</v>
      </c>
      <c r="D514" s="1">
        <v>45503</v>
      </c>
      <c r="E514" t="s">
        <v>34</v>
      </c>
      <c r="F514" t="s">
        <v>1927</v>
      </c>
      <c r="G514" t="s">
        <v>652</v>
      </c>
      <c r="H514" t="s">
        <v>25</v>
      </c>
      <c r="I514" t="s">
        <v>26</v>
      </c>
      <c r="J514" t="s">
        <v>55</v>
      </c>
      <c r="K514" t="s">
        <v>55</v>
      </c>
      <c r="L514">
        <v>67608</v>
      </c>
      <c r="M514" t="s">
        <v>56</v>
      </c>
      <c r="N514" t="s">
        <v>1928</v>
      </c>
      <c r="O514" t="s">
        <v>30</v>
      </c>
      <c r="P514" t="s">
        <v>100</v>
      </c>
      <c r="Q514" t="s">
        <v>1929</v>
      </c>
      <c r="R514" s="2">
        <v>151.12</v>
      </c>
      <c r="S514">
        <v>3</v>
      </c>
      <c r="T514" s="3">
        <v>0</v>
      </c>
      <c r="U514" s="2">
        <v>26.59</v>
      </c>
    </row>
    <row r="515" spans="1:21" x14ac:dyDescent="0.35">
      <c r="A515">
        <v>573</v>
      </c>
      <c r="B515" t="s">
        <v>1930</v>
      </c>
      <c r="C515" s="1">
        <v>45500</v>
      </c>
      <c r="D515" s="1">
        <v>45503</v>
      </c>
      <c r="E515" t="s">
        <v>290</v>
      </c>
      <c r="F515" t="s">
        <v>1931</v>
      </c>
      <c r="G515" t="s">
        <v>1162</v>
      </c>
      <c r="H515" t="s">
        <v>25</v>
      </c>
      <c r="I515" t="s">
        <v>26</v>
      </c>
      <c r="J515" t="s">
        <v>38</v>
      </c>
      <c r="K515" t="s">
        <v>38</v>
      </c>
      <c r="L515">
        <v>54732</v>
      </c>
      <c r="M515" t="s">
        <v>39</v>
      </c>
      <c r="N515" t="s">
        <v>1932</v>
      </c>
      <c r="O515" t="s">
        <v>41</v>
      </c>
      <c r="P515" t="s">
        <v>170</v>
      </c>
      <c r="Q515" t="s">
        <v>1933</v>
      </c>
      <c r="R515" s="2">
        <v>99.89</v>
      </c>
      <c r="S515">
        <v>7</v>
      </c>
      <c r="T515" s="3">
        <v>0.05</v>
      </c>
      <c r="U515" s="2">
        <v>21.43</v>
      </c>
    </row>
    <row r="516" spans="1:21" x14ac:dyDescent="0.35">
      <c r="A516">
        <v>422</v>
      </c>
      <c r="B516" t="s">
        <v>1934</v>
      </c>
      <c r="C516" s="1">
        <v>45501</v>
      </c>
      <c r="D516" s="1">
        <v>45505</v>
      </c>
      <c r="E516" t="s">
        <v>34</v>
      </c>
      <c r="F516" t="s">
        <v>1935</v>
      </c>
      <c r="G516" t="s">
        <v>477</v>
      </c>
      <c r="H516" t="s">
        <v>54</v>
      </c>
      <c r="I516" t="s">
        <v>26</v>
      </c>
      <c r="J516" t="s">
        <v>204</v>
      </c>
      <c r="K516" t="s">
        <v>204</v>
      </c>
      <c r="L516">
        <v>27733</v>
      </c>
      <c r="M516" t="s">
        <v>39</v>
      </c>
      <c r="N516" t="s">
        <v>1936</v>
      </c>
      <c r="O516" t="s">
        <v>41</v>
      </c>
      <c r="P516" t="s">
        <v>42</v>
      </c>
      <c r="Q516" t="s">
        <v>631</v>
      </c>
      <c r="R516" s="2">
        <v>40.14</v>
      </c>
      <c r="S516">
        <v>5</v>
      </c>
      <c r="T516" s="3">
        <v>0.05</v>
      </c>
      <c r="U516" s="2">
        <v>5.42</v>
      </c>
    </row>
    <row r="517" spans="1:21" x14ac:dyDescent="0.35">
      <c r="A517">
        <v>549</v>
      </c>
      <c r="B517" t="s">
        <v>1937</v>
      </c>
      <c r="C517" s="1">
        <v>45506</v>
      </c>
      <c r="D517" s="1">
        <v>45509</v>
      </c>
      <c r="E517" t="s">
        <v>22</v>
      </c>
      <c r="F517" t="s">
        <v>1938</v>
      </c>
      <c r="G517" t="s">
        <v>730</v>
      </c>
      <c r="H517" t="s">
        <v>25</v>
      </c>
      <c r="I517" t="s">
        <v>26</v>
      </c>
      <c r="J517" t="s">
        <v>233</v>
      </c>
      <c r="K517" t="s">
        <v>233</v>
      </c>
      <c r="L517">
        <v>35651</v>
      </c>
      <c r="M517" t="s">
        <v>65</v>
      </c>
      <c r="N517" t="s">
        <v>512</v>
      </c>
      <c r="O517" t="s">
        <v>41</v>
      </c>
      <c r="P517" t="s">
        <v>73</v>
      </c>
      <c r="Q517" t="s">
        <v>732</v>
      </c>
      <c r="R517" s="2">
        <v>112.9</v>
      </c>
      <c r="S517">
        <v>6</v>
      </c>
      <c r="T517" s="3">
        <v>0.3</v>
      </c>
      <c r="U517" s="2">
        <v>8.5399999999999991</v>
      </c>
    </row>
    <row r="518" spans="1:21" x14ac:dyDescent="0.35">
      <c r="A518">
        <v>57</v>
      </c>
      <c r="B518" t="s">
        <v>1939</v>
      </c>
      <c r="C518" s="1">
        <v>45508</v>
      </c>
      <c r="D518" s="1">
        <v>45510</v>
      </c>
      <c r="E518" t="s">
        <v>34</v>
      </c>
      <c r="F518" t="s">
        <v>1940</v>
      </c>
      <c r="G518" t="s">
        <v>340</v>
      </c>
      <c r="H518" t="s">
        <v>25</v>
      </c>
      <c r="I518" t="s">
        <v>26</v>
      </c>
      <c r="J518" t="s">
        <v>181</v>
      </c>
      <c r="K518" t="s">
        <v>181</v>
      </c>
      <c r="L518">
        <v>66373</v>
      </c>
      <c r="M518" t="s">
        <v>65</v>
      </c>
      <c r="N518" t="s">
        <v>1941</v>
      </c>
      <c r="O518" t="s">
        <v>41</v>
      </c>
      <c r="P518" t="s">
        <v>134</v>
      </c>
      <c r="Q518" t="s">
        <v>1571</v>
      </c>
      <c r="R518" s="2">
        <v>164.8</v>
      </c>
      <c r="S518">
        <v>7</v>
      </c>
      <c r="T518" s="3">
        <v>0.5</v>
      </c>
      <c r="U518" s="2">
        <v>-12.36</v>
      </c>
    </row>
    <row r="519" spans="1:21" x14ac:dyDescent="0.35">
      <c r="A519">
        <v>78</v>
      </c>
      <c r="B519" t="s">
        <v>1942</v>
      </c>
      <c r="C519" s="1">
        <v>45509</v>
      </c>
      <c r="D519" s="1">
        <v>45513</v>
      </c>
      <c r="E519" t="s">
        <v>34</v>
      </c>
      <c r="F519" t="s">
        <v>1943</v>
      </c>
      <c r="G519" t="s">
        <v>773</v>
      </c>
      <c r="H519" t="s">
        <v>25</v>
      </c>
      <c r="I519" t="s">
        <v>26</v>
      </c>
      <c r="J519" t="s">
        <v>204</v>
      </c>
      <c r="K519" t="s">
        <v>204</v>
      </c>
      <c r="L519">
        <v>51846</v>
      </c>
      <c r="M519" t="s">
        <v>39</v>
      </c>
      <c r="N519" t="s">
        <v>1944</v>
      </c>
      <c r="O519" t="s">
        <v>30</v>
      </c>
      <c r="P519" t="s">
        <v>31</v>
      </c>
      <c r="Q519" t="s">
        <v>1373</v>
      </c>
      <c r="R519" s="2">
        <v>138.91999999999999</v>
      </c>
      <c r="S519">
        <v>3</v>
      </c>
      <c r="T519" s="3">
        <v>0.15</v>
      </c>
      <c r="U519" s="2">
        <v>-3.14</v>
      </c>
    </row>
    <row r="520" spans="1:21" x14ac:dyDescent="0.35">
      <c r="A520">
        <v>580</v>
      </c>
      <c r="B520" t="s">
        <v>1945</v>
      </c>
      <c r="C520" s="1">
        <v>45509</v>
      </c>
      <c r="D520" s="1">
        <v>45513</v>
      </c>
      <c r="E520" t="s">
        <v>45</v>
      </c>
      <c r="F520" t="s">
        <v>1946</v>
      </c>
      <c r="G520" t="s">
        <v>681</v>
      </c>
      <c r="H520" t="s">
        <v>25</v>
      </c>
      <c r="I520" t="s">
        <v>26</v>
      </c>
      <c r="J520" t="s">
        <v>55</v>
      </c>
      <c r="K520" t="s">
        <v>55</v>
      </c>
      <c r="L520">
        <v>59323</v>
      </c>
      <c r="M520" t="s">
        <v>56</v>
      </c>
      <c r="N520" t="s">
        <v>1947</v>
      </c>
      <c r="O520" t="s">
        <v>41</v>
      </c>
      <c r="P520" t="s">
        <v>42</v>
      </c>
      <c r="Q520" t="s">
        <v>245</v>
      </c>
      <c r="R520" s="2">
        <v>64.75</v>
      </c>
      <c r="S520">
        <v>4</v>
      </c>
      <c r="T520" s="3">
        <v>0.05</v>
      </c>
      <c r="U520" s="2">
        <v>11.52</v>
      </c>
    </row>
    <row r="521" spans="1:21" x14ac:dyDescent="0.35">
      <c r="A521">
        <v>334</v>
      </c>
      <c r="B521" t="s">
        <v>1948</v>
      </c>
      <c r="C521" s="1">
        <v>45511</v>
      </c>
      <c r="D521" s="1">
        <v>45515</v>
      </c>
      <c r="E521" t="s">
        <v>34</v>
      </c>
      <c r="F521" t="s">
        <v>1949</v>
      </c>
      <c r="G521" t="s">
        <v>36</v>
      </c>
      <c r="H521" t="s">
        <v>54</v>
      </c>
      <c r="I521" t="s">
        <v>26</v>
      </c>
      <c r="J521" t="s">
        <v>162</v>
      </c>
      <c r="K521" t="s">
        <v>162</v>
      </c>
      <c r="L521">
        <v>21831</v>
      </c>
      <c r="M521" t="s">
        <v>28</v>
      </c>
      <c r="N521" t="s">
        <v>1950</v>
      </c>
      <c r="O521" t="s">
        <v>58</v>
      </c>
      <c r="P521" t="s">
        <v>59</v>
      </c>
      <c r="Q521" t="s">
        <v>1951</v>
      </c>
      <c r="R521" s="2">
        <v>145.69999999999999</v>
      </c>
      <c r="S521">
        <v>2</v>
      </c>
      <c r="T521" s="3">
        <v>0.1</v>
      </c>
      <c r="U521" s="2">
        <v>26.94</v>
      </c>
    </row>
    <row r="522" spans="1:21" x14ac:dyDescent="0.35">
      <c r="A522">
        <v>10</v>
      </c>
      <c r="B522" t="s">
        <v>1952</v>
      </c>
      <c r="C522" s="1">
        <v>45513</v>
      </c>
      <c r="D522" s="1">
        <v>45514</v>
      </c>
      <c r="E522" t="s">
        <v>34</v>
      </c>
      <c r="F522" t="s">
        <v>1953</v>
      </c>
      <c r="G522" t="s">
        <v>1267</v>
      </c>
      <c r="H522" t="s">
        <v>25</v>
      </c>
      <c r="I522" t="s">
        <v>26</v>
      </c>
      <c r="J522" t="s">
        <v>139</v>
      </c>
      <c r="K522" t="s">
        <v>139</v>
      </c>
      <c r="L522">
        <v>62662</v>
      </c>
      <c r="M522" t="s">
        <v>65</v>
      </c>
      <c r="N522" t="s">
        <v>893</v>
      </c>
      <c r="O522" t="s">
        <v>58</v>
      </c>
      <c r="P522" t="s">
        <v>89</v>
      </c>
      <c r="Q522" t="s">
        <v>1954</v>
      </c>
      <c r="R522" s="2">
        <v>214.26</v>
      </c>
      <c r="S522">
        <v>6</v>
      </c>
      <c r="T522" s="3">
        <v>0</v>
      </c>
      <c r="U522" s="2">
        <v>66.48</v>
      </c>
    </row>
    <row r="523" spans="1:21" x14ac:dyDescent="0.35">
      <c r="A523">
        <v>449</v>
      </c>
      <c r="B523" t="s">
        <v>1955</v>
      </c>
      <c r="C523" s="1">
        <v>45516</v>
      </c>
      <c r="D523" s="1">
        <v>45521</v>
      </c>
      <c r="E523" t="s">
        <v>22</v>
      </c>
      <c r="F523" t="s">
        <v>1956</v>
      </c>
      <c r="G523" t="s">
        <v>24</v>
      </c>
      <c r="H523" t="s">
        <v>37</v>
      </c>
      <c r="I523" t="s">
        <v>26</v>
      </c>
      <c r="J523" t="s">
        <v>277</v>
      </c>
      <c r="K523" t="s">
        <v>277</v>
      </c>
      <c r="L523">
        <v>98220</v>
      </c>
      <c r="M523" t="s">
        <v>56</v>
      </c>
      <c r="N523" t="s">
        <v>1957</v>
      </c>
      <c r="O523" t="s">
        <v>30</v>
      </c>
      <c r="P523" t="s">
        <v>157</v>
      </c>
      <c r="Q523" t="s">
        <v>727</v>
      </c>
      <c r="R523" s="2">
        <v>112.25</v>
      </c>
      <c r="S523">
        <v>6</v>
      </c>
      <c r="T523" s="3">
        <v>0.15</v>
      </c>
      <c r="U523" s="2">
        <v>17.54</v>
      </c>
    </row>
    <row r="524" spans="1:21" x14ac:dyDescent="0.35">
      <c r="A524">
        <v>24</v>
      </c>
      <c r="B524" t="s">
        <v>1958</v>
      </c>
      <c r="C524" s="1">
        <v>45518</v>
      </c>
      <c r="D524" s="1">
        <v>45521</v>
      </c>
      <c r="E524" t="s">
        <v>22</v>
      </c>
      <c r="F524" t="s">
        <v>1959</v>
      </c>
      <c r="G524" t="s">
        <v>1145</v>
      </c>
      <c r="H524" t="s">
        <v>54</v>
      </c>
      <c r="I524" t="s">
        <v>26</v>
      </c>
      <c r="J524" t="s">
        <v>233</v>
      </c>
      <c r="K524" t="s">
        <v>233</v>
      </c>
      <c r="L524">
        <v>25305</v>
      </c>
      <c r="M524" t="s">
        <v>65</v>
      </c>
      <c r="N524" t="s">
        <v>1613</v>
      </c>
      <c r="O524" t="s">
        <v>41</v>
      </c>
      <c r="P524" t="s">
        <v>170</v>
      </c>
      <c r="Q524" t="s">
        <v>641</v>
      </c>
      <c r="R524" s="2">
        <v>118.07</v>
      </c>
      <c r="S524">
        <v>4</v>
      </c>
      <c r="T524" s="3">
        <v>0</v>
      </c>
      <c r="U524" s="2">
        <v>26.34</v>
      </c>
    </row>
    <row r="525" spans="1:21" x14ac:dyDescent="0.35">
      <c r="A525">
        <v>52</v>
      </c>
      <c r="B525" t="s">
        <v>1960</v>
      </c>
      <c r="C525" s="1">
        <v>45519</v>
      </c>
      <c r="D525" s="1">
        <v>45521</v>
      </c>
      <c r="E525" t="s">
        <v>34</v>
      </c>
      <c r="F525" t="s">
        <v>1961</v>
      </c>
      <c r="G525" t="s">
        <v>198</v>
      </c>
      <c r="H525" t="s">
        <v>37</v>
      </c>
      <c r="I525" t="s">
        <v>26</v>
      </c>
      <c r="J525" t="s">
        <v>233</v>
      </c>
      <c r="K525" t="s">
        <v>233</v>
      </c>
      <c r="L525">
        <v>54327</v>
      </c>
      <c r="M525" t="s">
        <v>65</v>
      </c>
      <c r="N525" t="s">
        <v>1962</v>
      </c>
      <c r="O525" t="s">
        <v>30</v>
      </c>
      <c r="P525" t="s">
        <v>100</v>
      </c>
      <c r="Q525" t="s">
        <v>118</v>
      </c>
      <c r="R525" s="2">
        <v>38.92</v>
      </c>
      <c r="S525">
        <v>5</v>
      </c>
      <c r="T525" s="3">
        <v>0.2</v>
      </c>
      <c r="U525" s="2">
        <v>1.8</v>
      </c>
    </row>
    <row r="526" spans="1:21" x14ac:dyDescent="0.35">
      <c r="A526">
        <v>64</v>
      </c>
      <c r="B526" t="s">
        <v>1963</v>
      </c>
      <c r="C526" s="1">
        <v>45519</v>
      </c>
      <c r="D526" s="1">
        <v>45525</v>
      </c>
      <c r="E526" t="s">
        <v>34</v>
      </c>
      <c r="F526" t="s">
        <v>1964</v>
      </c>
      <c r="G526" t="s">
        <v>1041</v>
      </c>
      <c r="H526" t="s">
        <v>25</v>
      </c>
      <c r="I526" t="s">
        <v>26</v>
      </c>
      <c r="J526" t="s">
        <v>48</v>
      </c>
      <c r="K526" t="s">
        <v>48</v>
      </c>
      <c r="L526">
        <v>85186</v>
      </c>
      <c r="M526" t="s">
        <v>39</v>
      </c>
      <c r="N526" t="s">
        <v>1965</v>
      </c>
      <c r="O526" t="s">
        <v>41</v>
      </c>
      <c r="P526" t="s">
        <v>106</v>
      </c>
      <c r="Q526" t="s">
        <v>1230</v>
      </c>
      <c r="R526" s="2">
        <v>178.77</v>
      </c>
      <c r="S526">
        <v>1</v>
      </c>
      <c r="T526" s="3">
        <v>0.05</v>
      </c>
      <c r="U526" s="2">
        <v>24.28</v>
      </c>
    </row>
    <row r="527" spans="1:21" x14ac:dyDescent="0.35">
      <c r="A527">
        <v>532</v>
      </c>
      <c r="B527" t="s">
        <v>1966</v>
      </c>
      <c r="C527" s="1">
        <v>45521</v>
      </c>
      <c r="D527" s="1">
        <v>45526</v>
      </c>
      <c r="E527" t="s">
        <v>45</v>
      </c>
      <c r="F527" t="s">
        <v>1967</v>
      </c>
      <c r="G527" t="s">
        <v>672</v>
      </c>
      <c r="H527" t="s">
        <v>37</v>
      </c>
      <c r="I527" t="s">
        <v>26</v>
      </c>
      <c r="J527" t="s">
        <v>82</v>
      </c>
      <c r="K527" t="s">
        <v>82</v>
      </c>
      <c r="L527">
        <v>24026</v>
      </c>
      <c r="M527" t="s">
        <v>28</v>
      </c>
      <c r="N527" t="s">
        <v>1329</v>
      </c>
      <c r="O527" t="s">
        <v>30</v>
      </c>
      <c r="P527" t="s">
        <v>176</v>
      </c>
      <c r="Q527" t="s">
        <v>224</v>
      </c>
      <c r="R527" s="2">
        <v>50.45</v>
      </c>
      <c r="S527">
        <v>7</v>
      </c>
      <c r="T527" s="3">
        <v>0</v>
      </c>
      <c r="U527" s="2">
        <v>11.05</v>
      </c>
    </row>
    <row r="528" spans="1:21" x14ac:dyDescent="0.35">
      <c r="A528">
        <v>98</v>
      </c>
      <c r="B528" t="s">
        <v>1968</v>
      </c>
      <c r="C528" s="1">
        <v>45525</v>
      </c>
      <c r="D528" s="1">
        <v>45527</v>
      </c>
      <c r="E528" t="s">
        <v>34</v>
      </c>
      <c r="F528" t="s">
        <v>1969</v>
      </c>
      <c r="G528" t="s">
        <v>524</v>
      </c>
      <c r="H528" t="s">
        <v>37</v>
      </c>
      <c r="I528" t="s">
        <v>26</v>
      </c>
      <c r="J528" t="s">
        <v>162</v>
      </c>
      <c r="K528" t="s">
        <v>162</v>
      </c>
      <c r="L528">
        <v>54139</v>
      </c>
      <c r="M528" t="s">
        <v>28</v>
      </c>
      <c r="N528" t="s">
        <v>1414</v>
      </c>
      <c r="O528" t="s">
        <v>41</v>
      </c>
      <c r="P528" t="s">
        <v>42</v>
      </c>
      <c r="Q528" t="s">
        <v>1970</v>
      </c>
      <c r="R528" s="2">
        <v>165.75</v>
      </c>
      <c r="S528">
        <v>4</v>
      </c>
      <c r="T528" s="3">
        <v>0.3</v>
      </c>
      <c r="U528" s="2">
        <v>4.1100000000000003</v>
      </c>
    </row>
    <row r="529" spans="1:21" x14ac:dyDescent="0.35">
      <c r="A529">
        <v>267</v>
      </c>
      <c r="B529" t="s">
        <v>1971</v>
      </c>
      <c r="C529" s="1">
        <v>45526</v>
      </c>
      <c r="D529" s="1">
        <v>45530</v>
      </c>
      <c r="E529" t="s">
        <v>45</v>
      </c>
      <c r="F529" t="s">
        <v>1972</v>
      </c>
      <c r="G529" t="s">
        <v>110</v>
      </c>
      <c r="H529" t="s">
        <v>25</v>
      </c>
      <c r="I529" t="s">
        <v>26</v>
      </c>
      <c r="J529" t="s">
        <v>331</v>
      </c>
      <c r="K529" t="s">
        <v>331</v>
      </c>
      <c r="L529">
        <v>16638</v>
      </c>
      <c r="M529" t="s">
        <v>28</v>
      </c>
      <c r="N529" t="s">
        <v>551</v>
      </c>
      <c r="O529" t="s">
        <v>30</v>
      </c>
      <c r="P529" t="s">
        <v>176</v>
      </c>
      <c r="Q529" t="s">
        <v>1973</v>
      </c>
      <c r="R529" s="2">
        <v>314.86</v>
      </c>
      <c r="S529">
        <v>6</v>
      </c>
      <c r="T529" s="3">
        <v>0</v>
      </c>
      <c r="U529" s="2">
        <v>51.67</v>
      </c>
    </row>
    <row r="530" spans="1:21" x14ac:dyDescent="0.35">
      <c r="A530">
        <v>300</v>
      </c>
      <c r="B530" t="s">
        <v>1974</v>
      </c>
      <c r="C530" s="1">
        <v>45528</v>
      </c>
      <c r="D530" s="1">
        <v>45531</v>
      </c>
      <c r="E530" t="s">
        <v>34</v>
      </c>
      <c r="F530" t="s">
        <v>1975</v>
      </c>
      <c r="G530" t="s">
        <v>676</v>
      </c>
      <c r="H530" t="s">
        <v>37</v>
      </c>
      <c r="I530" t="s">
        <v>26</v>
      </c>
      <c r="J530" t="s">
        <v>233</v>
      </c>
      <c r="K530" t="s">
        <v>233</v>
      </c>
      <c r="L530">
        <v>18802</v>
      </c>
      <c r="M530" t="s">
        <v>65</v>
      </c>
      <c r="N530" t="s">
        <v>1976</v>
      </c>
      <c r="O530" t="s">
        <v>58</v>
      </c>
      <c r="P530" t="s">
        <v>112</v>
      </c>
      <c r="Q530" t="s">
        <v>1751</v>
      </c>
      <c r="R530" s="2">
        <v>39.200000000000003</v>
      </c>
      <c r="S530">
        <v>5</v>
      </c>
      <c r="T530" s="3">
        <v>0.5</v>
      </c>
      <c r="U530" s="2">
        <v>-1.89</v>
      </c>
    </row>
    <row r="531" spans="1:21" x14ac:dyDescent="0.35">
      <c r="A531">
        <v>591</v>
      </c>
      <c r="B531" t="s">
        <v>1977</v>
      </c>
      <c r="C531" s="1">
        <v>45528</v>
      </c>
      <c r="D531" s="1">
        <v>45530</v>
      </c>
      <c r="E531" t="s">
        <v>34</v>
      </c>
      <c r="F531" t="s">
        <v>1978</v>
      </c>
      <c r="G531" t="s">
        <v>709</v>
      </c>
      <c r="H531" t="s">
        <v>25</v>
      </c>
      <c r="I531" t="s">
        <v>26</v>
      </c>
      <c r="J531" t="s">
        <v>82</v>
      </c>
      <c r="K531" t="s">
        <v>82</v>
      </c>
      <c r="L531">
        <v>70287</v>
      </c>
      <c r="M531" t="s">
        <v>28</v>
      </c>
      <c r="N531" t="s">
        <v>1979</v>
      </c>
      <c r="O531" t="s">
        <v>41</v>
      </c>
      <c r="P531" t="s">
        <v>134</v>
      </c>
      <c r="Q531" t="s">
        <v>1871</v>
      </c>
      <c r="R531" s="2">
        <v>45.3</v>
      </c>
      <c r="S531">
        <v>3</v>
      </c>
      <c r="T531" s="3">
        <v>0.1</v>
      </c>
      <c r="U531" s="2">
        <v>7.02</v>
      </c>
    </row>
    <row r="532" spans="1:21" x14ac:dyDescent="0.35">
      <c r="A532">
        <v>440</v>
      </c>
      <c r="B532" t="s">
        <v>1980</v>
      </c>
      <c r="C532" s="1">
        <v>45530</v>
      </c>
      <c r="D532" s="1">
        <v>45533</v>
      </c>
      <c r="E532" t="s">
        <v>45</v>
      </c>
      <c r="F532" t="s">
        <v>1981</v>
      </c>
      <c r="G532" t="s">
        <v>276</v>
      </c>
      <c r="H532" t="s">
        <v>54</v>
      </c>
      <c r="I532" t="s">
        <v>26</v>
      </c>
      <c r="J532" t="s">
        <v>233</v>
      </c>
      <c r="K532" t="s">
        <v>233</v>
      </c>
      <c r="L532">
        <v>35705</v>
      </c>
      <c r="M532" t="s">
        <v>65</v>
      </c>
      <c r="N532" t="s">
        <v>1982</v>
      </c>
      <c r="O532" t="s">
        <v>30</v>
      </c>
      <c r="P532" t="s">
        <v>157</v>
      </c>
      <c r="Q532" t="s">
        <v>1047</v>
      </c>
      <c r="R532" s="2">
        <v>182.86</v>
      </c>
      <c r="S532">
        <v>3</v>
      </c>
      <c r="T532" s="3">
        <v>0.3</v>
      </c>
      <c r="U532" s="2">
        <v>-14.12</v>
      </c>
    </row>
    <row r="533" spans="1:21" x14ac:dyDescent="0.35">
      <c r="A533">
        <v>74</v>
      </c>
      <c r="B533" t="s">
        <v>1983</v>
      </c>
      <c r="C533" s="1">
        <v>45534</v>
      </c>
      <c r="D533" s="1">
        <v>45539</v>
      </c>
      <c r="E533" t="s">
        <v>45</v>
      </c>
      <c r="F533" t="s">
        <v>1984</v>
      </c>
      <c r="G533" t="s">
        <v>500</v>
      </c>
      <c r="H533" t="s">
        <v>37</v>
      </c>
      <c r="I533" t="s">
        <v>26</v>
      </c>
      <c r="J533" t="s">
        <v>162</v>
      </c>
      <c r="K533" t="s">
        <v>162</v>
      </c>
      <c r="L533">
        <v>75082</v>
      </c>
      <c r="M533" t="s">
        <v>28</v>
      </c>
      <c r="N533" t="s">
        <v>1540</v>
      </c>
      <c r="O533" t="s">
        <v>58</v>
      </c>
      <c r="P533" t="s">
        <v>112</v>
      </c>
      <c r="Q533" t="s">
        <v>1503</v>
      </c>
      <c r="R533" s="2">
        <v>455.27</v>
      </c>
      <c r="S533">
        <v>3</v>
      </c>
      <c r="T533" s="3">
        <v>0.3</v>
      </c>
      <c r="U533" s="2">
        <v>20.93</v>
      </c>
    </row>
    <row r="534" spans="1:21" x14ac:dyDescent="0.35">
      <c r="A534">
        <v>97</v>
      </c>
      <c r="B534" t="s">
        <v>1985</v>
      </c>
      <c r="C534" s="1">
        <v>45536</v>
      </c>
      <c r="D534" s="1">
        <v>45539</v>
      </c>
      <c r="E534" t="s">
        <v>45</v>
      </c>
      <c r="F534" t="s">
        <v>1986</v>
      </c>
      <c r="G534" t="s">
        <v>477</v>
      </c>
      <c r="H534" t="s">
        <v>37</v>
      </c>
      <c r="I534" t="s">
        <v>26</v>
      </c>
      <c r="J534" t="s">
        <v>204</v>
      </c>
      <c r="K534" t="s">
        <v>204</v>
      </c>
      <c r="L534">
        <v>56881</v>
      </c>
      <c r="M534" t="s">
        <v>39</v>
      </c>
      <c r="N534" t="s">
        <v>1987</v>
      </c>
      <c r="O534" t="s">
        <v>41</v>
      </c>
      <c r="P534" t="s">
        <v>151</v>
      </c>
      <c r="Q534" t="s">
        <v>932</v>
      </c>
      <c r="R534" s="2">
        <v>51.84</v>
      </c>
      <c r="S534">
        <v>7</v>
      </c>
      <c r="T534" s="3">
        <v>0.05</v>
      </c>
      <c r="U534" s="2">
        <v>9.6</v>
      </c>
    </row>
    <row r="535" spans="1:21" x14ac:dyDescent="0.35">
      <c r="A535">
        <v>66</v>
      </c>
      <c r="B535" t="s">
        <v>1988</v>
      </c>
      <c r="C535" s="1">
        <v>45537</v>
      </c>
      <c r="D535" s="1">
        <v>45542</v>
      </c>
      <c r="E535" t="s">
        <v>290</v>
      </c>
      <c r="F535" t="s">
        <v>1989</v>
      </c>
      <c r="G535" t="s">
        <v>439</v>
      </c>
      <c r="H535" t="s">
        <v>25</v>
      </c>
      <c r="I535" t="s">
        <v>26</v>
      </c>
      <c r="J535" t="s">
        <v>122</v>
      </c>
      <c r="K535" t="s">
        <v>122</v>
      </c>
      <c r="L535">
        <v>92310</v>
      </c>
      <c r="M535" t="s">
        <v>65</v>
      </c>
      <c r="N535" t="s">
        <v>1066</v>
      </c>
      <c r="O535" t="s">
        <v>58</v>
      </c>
      <c r="P535" t="s">
        <v>89</v>
      </c>
      <c r="Q535" t="s">
        <v>1990</v>
      </c>
      <c r="R535" s="2">
        <v>171.53</v>
      </c>
      <c r="S535">
        <v>1</v>
      </c>
      <c r="T535" s="3">
        <v>0.05</v>
      </c>
      <c r="U535" s="2">
        <v>45.06</v>
      </c>
    </row>
    <row r="536" spans="1:21" x14ac:dyDescent="0.35">
      <c r="A536">
        <v>461</v>
      </c>
      <c r="B536" t="s">
        <v>1991</v>
      </c>
      <c r="C536" s="1">
        <v>45542</v>
      </c>
      <c r="D536" s="1">
        <v>45545</v>
      </c>
      <c r="E536" t="s">
        <v>22</v>
      </c>
      <c r="F536" t="s">
        <v>1992</v>
      </c>
      <c r="G536" t="s">
        <v>743</v>
      </c>
      <c r="H536" t="s">
        <v>54</v>
      </c>
      <c r="I536" t="s">
        <v>26</v>
      </c>
      <c r="J536" t="s">
        <v>82</v>
      </c>
      <c r="K536" t="s">
        <v>82</v>
      </c>
      <c r="L536">
        <v>21254</v>
      </c>
      <c r="M536" t="s">
        <v>28</v>
      </c>
      <c r="N536" t="s">
        <v>1993</v>
      </c>
      <c r="O536" t="s">
        <v>41</v>
      </c>
      <c r="P536" t="s">
        <v>73</v>
      </c>
      <c r="Q536" t="s">
        <v>758</v>
      </c>
      <c r="R536" s="2">
        <v>8</v>
      </c>
      <c r="S536">
        <v>5</v>
      </c>
      <c r="T536" s="3">
        <v>0.2</v>
      </c>
      <c r="U536" s="2">
        <v>1.01</v>
      </c>
    </row>
    <row r="537" spans="1:21" x14ac:dyDescent="0.35">
      <c r="A537">
        <v>450</v>
      </c>
      <c r="B537" t="s">
        <v>1994</v>
      </c>
      <c r="C537" s="1">
        <v>45546</v>
      </c>
      <c r="D537" s="1">
        <v>45549</v>
      </c>
      <c r="E537" t="s">
        <v>45</v>
      </c>
      <c r="F537" t="s">
        <v>1995</v>
      </c>
      <c r="G537" t="s">
        <v>856</v>
      </c>
      <c r="H537" t="s">
        <v>25</v>
      </c>
      <c r="I537" t="s">
        <v>26</v>
      </c>
      <c r="J537" t="s">
        <v>331</v>
      </c>
      <c r="K537" t="s">
        <v>331</v>
      </c>
      <c r="L537">
        <v>15295</v>
      </c>
      <c r="M537" t="s">
        <v>28</v>
      </c>
      <c r="N537" t="s">
        <v>774</v>
      </c>
      <c r="O537" t="s">
        <v>30</v>
      </c>
      <c r="P537" t="s">
        <v>157</v>
      </c>
      <c r="Q537" t="s">
        <v>583</v>
      </c>
      <c r="R537" s="2">
        <v>187.66</v>
      </c>
      <c r="S537">
        <v>7</v>
      </c>
      <c r="T537" s="3">
        <v>0</v>
      </c>
      <c r="U537" s="2">
        <v>31.53</v>
      </c>
    </row>
    <row r="538" spans="1:21" x14ac:dyDescent="0.35">
      <c r="A538">
        <v>129</v>
      </c>
      <c r="B538" t="s">
        <v>1996</v>
      </c>
      <c r="C538" s="1">
        <v>45546</v>
      </c>
      <c r="D538" s="1">
        <v>45552</v>
      </c>
      <c r="E538" t="s">
        <v>34</v>
      </c>
      <c r="F538" t="s">
        <v>1997</v>
      </c>
      <c r="G538" t="s">
        <v>1092</v>
      </c>
      <c r="H538" t="s">
        <v>25</v>
      </c>
      <c r="I538" t="s">
        <v>26</v>
      </c>
      <c r="J538" t="s">
        <v>127</v>
      </c>
      <c r="K538" t="s">
        <v>127</v>
      </c>
      <c r="L538">
        <v>51800</v>
      </c>
      <c r="M538" t="s">
        <v>56</v>
      </c>
      <c r="N538" t="s">
        <v>1998</v>
      </c>
      <c r="O538" t="s">
        <v>30</v>
      </c>
      <c r="P538" t="s">
        <v>157</v>
      </c>
      <c r="Q538" t="s">
        <v>1337</v>
      </c>
      <c r="R538" s="2">
        <v>276.51</v>
      </c>
      <c r="S538">
        <v>6</v>
      </c>
      <c r="T538" s="3">
        <v>0.15</v>
      </c>
      <c r="U538" s="2">
        <v>8.66</v>
      </c>
    </row>
    <row r="539" spans="1:21" x14ac:dyDescent="0.35">
      <c r="A539">
        <v>152</v>
      </c>
      <c r="B539" t="s">
        <v>1999</v>
      </c>
      <c r="C539" s="1">
        <v>45547</v>
      </c>
      <c r="D539" s="1">
        <v>45552</v>
      </c>
      <c r="E539" t="s">
        <v>45</v>
      </c>
      <c r="F539" t="s">
        <v>2000</v>
      </c>
      <c r="G539" t="s">
        <v>253</v>
      </c>
      <c r="H539" t="s">
        <v>37</v>
      </c>
      <c r="I539" t="s">
        <v>26</v>
      </c>
      <c r="J539" t="s">
        <v>472</v>
      </c>
      <c r="K539" t="s">
        <v>472</v>
      </c>
      <c r="L539">
        <v>72493</v>
      </c>
      <c r="M539" t="s">
        <v>56</v>
      </c>
      <c r="N539" t="s">
        <v>2001</v>
      </c>
      <c r="O539" t="s">
        <v>41</v>
      </c>
      <c r="P539" t="s">
        <v>170</v>
      </c>
      <c r="Q539" t="s">
        <v>418</v>
      </c>
      <c r="R539" s="2">
        <v>68.39</v>
      </c>
      <c r="S539">
        <v>3</v>
      </c>
      <c r="T539" s="3">
        <v>0.15</v>
      </c>
      <c r="U539" s="2">
        <v>4.7</v>
      </c>
    </row>
    <row r="540" spans="1:21" x14ac:dyDescent="0.35">
      <c r="A540">
        <v>365</v>
      </c>
      <c r="B540" t="s">
        <v>2002</v>
      </c>
      <c r="C540" s="1">
        <v>45549</v>
      </c>
      <c r="D540" s="1">
        <v>45552</v>
      </c>
      <c r="E540" t="s">
        <v>34</v>
      </c>
      <c r="F540" t="s">
        <v>2003</v>
      </c>
      <c r="G540" t="s">
        <v>1362</v>
      </c>
      <c r="H540" t="s">
        <v>25</v>
      </c>
      <c r="I540" t="s">
        <v>26</v>
      </c>
      <c r="J540" t="s">
        <v>204</v>
      </c>
      <c r="K540" t="s">
        <v>204</v>
      </c>
      <c r="L540">
        <v>43332</v>
      </c>
      <c r="M540" t="s">
        <v>39</v>
      </c>
      <c r="N540" t="s">
        <v>2004</v>
      </c>
      <c r="O540" t="s">
        <v>41</v>
      </c>
      <c r="P540" t="s">
        <v>106</v>
      </c>
      <c r="Q540" t="s">
        <v>654</v>
      </c>
      <c r="R540" s="2">
        <v>80.709999999999994</v>
      </c>
      <c r="S540">
        <v>2</v>
      </c>
      <c r="T540" s="3">
        <v>0.2</v>
      </c>
      <c r="U540" s="2">
        <v>0.28000000000000003</v>
      </c>
    </row>
    <row r="541" spans="1:21" x14ac:dyDescent="0.35">
      <c r="A541">
        <v>456</v>
      </c>
      <c r="B541" t="s">
        <v>2005</v>
      </c>
      <c r="C541" s="1">
        <v>45549</v>
      </c>
      <c r="D541" s="1">
        <v>45550</v>
      </c>
      <c r="E541" t="s">
        <v>34</v>
      </c>
      <c r="F541" t="s">
        <v>2006</v>
      </c>
      <c r="G541" t="s">
        <v>336</v>
      </c>
      <c r="H541" t="s">
        <v>37</v>
      </c>
      <c r="I541" t="s">
        <v>26</v>
      </c>
      <c r="J541" t="s">
        <v>55</v>
      </c>
      <c r="K541" t="s">
        <v>55</v>
      </c>
      <c r="L541">
        <v>93346</v>
      </c>
      <c r="M541" t="s">
        <v>56</v>
      </c>
      <c r="N541" t="s">
        <v>422</v>
      </c>
      <c r="O541" t="s">
        <v>30</v>
      </c>
      <c r="P541" t="s">
        <v>157</v>
      </c>
      <c r="Q541" t="s">
        <v>1684</v>
      </c>
      <c r="R541" s="2">
        <v>426.46</v>
      </c>
      <c r="S541">
        <v>4</v>
      </c>
      <c r="T541" s="3">
        <v>0.15</v>
      </c>
      <c r="U541" s="2">
        <v>34.159999999999997</v>
      </c>
    </row>
    <row r="542" spans="1:21" x14ac:dyDescent="0.35">
      <c r="A542">
        <v>261</v>
      </c>
      <c r="B542" t="s">
        <v>2007</v>
      </c>
      <c r="C542" s="1">
        <v>45550</v>
      </c>
      <c r="D542" s="1">
        <v>45556</v>
      </c>
      <c r="E542" t="s">
        <v>34</v>
      </c>
      <c r="F542" t="s">
        <v>2008</v>
      </c>
      <c r="G542" t="s">
        <v>652</v>
      </c>
      <c r="H542" t="s">
        <v>25</v>
      </c>
      <c r="I542" t="s">
        <v>26</v>
      </c>
      <c r="J542" t="s">
        <v>181</v>
      </c>
      <c r="K542" t="s">
        <v>181</v>
      </c>
      <c r="L542">
        <v>30666</v>
      </c>
      <c r="M542" t="s">
        <v>65</v>
      </c>
      <c r="N542" t="s">
        <v>2009</v>
      </c>
      <c r="O542" t="s">
        <v>58</v>
      </c>
      <c r="P542" t="s">
        <v>112</v>
      </c>
      <c r="Q542" t="s">
        <v>2010</v>
      </c>
      <c r="R542" s="2">
        <v>237.38</v>
      </c>
      <c r="S542">
        <v>3</v>
      </c>
      <c r="T542" s="3">
        <v>0.15</v>
      </c>
      <c r="U542" s="2">
        <v>38.950000000000003</v>
      </c>
    </row>
    <row r="543" spans="1:21" x14ac:dyDescent="0.35">
      <c r="A543">
        <v>56</v>
      </c>
      <c r="B543" t="s">
        <v>2011</v>
      </c>
      <c r="C543" s="1">
        <v>45551</v>
      </c>
      <c r="D543" s="1">
        <v>45555</v>
      </c>
      <c r="E543" t="s">
        <v>34</v>
      </c>
      <c r="F543" t="s">
        <v>2012</v>
      </c>
      <c r="G543" t="s">
        <v>444</v>
      </c>
      <c r="H543" t="s">
        <v>25</v>
      </c>
      <c r="I543" t="s">
        <v>26</v>
      </c>
      <c r="J543" t="s">
        <v>187</v>
      </c>
      <c r="K543" t="s">
        <v>187</v>
      </c>
      <c r="L543">
        <v>36737</v>
      </c>
      <c r="M543" t="s">
        <v>39</v>
      </c>
      <c r="N543" t="s">
        <v>2013</v>
      </c>
      <c r="O543" t="s">
        <v>58</v>
      </c>
      <c r="P543" t="s">
        <v>112</v>
      </c>
      <c r="Q543" t="s">
        <v>240</v>
      </c>
      <c r="R543" s="2">
        <v>462.27</v>
      </c>
      <c r="S543">
        <v>3</v>
      </c>
      <c r="T543" s="3">
        <v>0</v>
      </c>
      <c r="U543" s="2">
        <v>112.57</v>
      </c>
    </row>
    <row r="544" spans="1:21" x14ac:dyDescent="0.35">
      <c r="A544">
        <v>117</v>
      </c>
      <c r="B544" t="s">
        <v>2014</v>
      </c>
      <c r="C544" s="1">
        <v>45553</v>
      </c>
      <c r="D544" s="1">
        <v>45556</v>
      </c>
      <c r="E544" t="s">
        <v>290</v>
      </c>
      <c r="F544" t="s">
        <v>2015</v>
      </c>
      <c r="G544" t="s">
        <v>625</v>
      </c>
      <c r="H544" t="s">
        <v>25</v>
      </c>
      <c r="I544" t="s">
        <v>26</v>
      </c>
      <c r="J544" t="s">
        <v>181</v>
      </c>
      <c r="K544" t="s">
        <v>181</v>
      </c>
      <c r="L544">
        <v>44964</v>
      </c>
      <c r="M544" t="s">
        <v>65</v>
      </c>
      <c r="N544" t="s">
        <v>1179</v>
      </c>
      <c r="O544" t="s">
        <v>30</v>
      </c>
      <c r="P544" t="s">
        <v>100</v>
      </c>
      <c r="Q544" t="s">
        <v>427</v>
      </c>
      <c r="R544" s="2">
        <v>128.61000000000001</v>
      </c>
      <c r="S544">
        <v>7</v>
      </c>
      <c r="T544" s="3">
        <v>0</v>
      </c>
      <c r="U544" s="2">
        <v>23.11</v>
      </c>
    </row>
    <row r="545" spans="1:21" x14ac:dyDescent="0.35">
      <c r="A545">
        <v>360</v>
      </c>
      <c r="B545" t="s">
        <v>2016</v>
      </c>
      <c r="C545" s="1">
        <v>45554</v>
      </c>
      <c r="D545" s="1">
        <v>45558</v>
      </c>
      <c r="E545" t="s">
        <v>45</v>
      </c>
      <c r="F545" t="s">
        <v>2017</v>
      </c>
      <c r="G545" t="s">
        <v>198</v>
      </c>
      <c r="H545" t="s">
        <v>25</v>
      </c>
      <c r="I545" t="s">
        <v>26</v>
      </c>
      <c r="J545" t="s">
        <v>193</v>
      </c>
      <c r="K545" t="s">
        <v>193</v>
      </c>
      <c r="L545">
        <v>22161</v>
      </c>
      <c r="M545" t="s">
        <v>39</v>
      </c>
      <c r="N545" t="s">
        <v>2018</v>
      </c>
      <c r="O545" t="s">
        <v>41</v>
      </c>
      <c r="P545" t="s">
        <v>106</v>
      </c>
      <c r="Q545" t="s">
        <v>2019</v>
      </c>
      <c r="R545" s="2">
        <v>27.5</v>
      </c>
      <c r="S545">
        <v>7</v>
      </c>
      <c r="T545" s="3">
        <v>0</v>
      </c>
      <c r="U545" s="2">
        <v>5.48</v>
      </c>
    </row>
    <row r="546" spans="1:21" x14ac:dyDescent="0.35">
      <c r="A546">
        <v>22</v>
      </c>
      <c r="B546" t="s">
        <v>2020</v>
      </c>
      <c r="C546" s="1">
        <v>45558</v>
      </c>
      <c r="D546" s="1">
        <v>45560</v>
      </c>
      <c r="E546" t="s">
        <v>34</v>
      </c>
      <c r="F546" t="s">
        <v>2021</v>
      </c>
      <c r="G546" t="s">
        <v>1444</v>
      </c>
      <c r="H546" t="s">
        <v>25</v>
      </c>
      <c r="I546" t="s">
        <v>26</v>
      </c>
      <c r="J546" t="s">
        <v>233</v>
      </c>
      <c r="K546" t="s">
        <v>233</v>
      </c>
      <c r="L546">
        <v>36646</v>
      </c>
      <c r="M546" t="s">
        <v>65</v>
      </c>
      <c r="N546" t="s">
        <v>1099</v>
      </c>
      <c r="O546" t="s">
        <v>30</v>
      </c>
      <c r="P546" t="s">
        <v>31</v>
      </c>
      <c r="Q546" t="s">
        <v>294</v>
      </c>
      <c r="R546" s="2">
        <v>178.77</v>
      </c>
      <c r="S546">
        <v>2</v>
      </c>
      <c r="T546" s="3">
        <v>0.3</v>
      </c>
      <c r="U546" s="2">
        <v>-11.57</v>
      </c>
    </row>
    <row r="547" spans="1:21" x14ac:dyDescent="0.35">
      <c r="A547">
        <v>257</v>
      </c>
      <c r="B547" t="s">
        <v>2022</v>
      </c>
      <c r="C547" s="1">
        <v>45560</v>
      </c>
      <c r="D547" s="1">
        <v>45561</v>
      </c>
      <c r="E547" t="s">
        <v>45</v>
      </c>
      <c r="F547" t="s">
        <v>2023</v>
      </c>
      <c r="G547" t="s">
        <v>2024</v>
      </c>
      <c r="H547" t="s">
        <v>37</v>
      </c>
      <c r="I547" t="s">
        <v>26</v>
      </c>
      <c r="J547" t="s">
        <v>472</v>
      </c>
      <c r="K547" t="s">
        <v>472</v>
      </c>
      <c r="L547">
        <v>48724</v>
      </c>
      <c r="M547" t="s">
        <v>56</v>
      </c>
      <c r="N547" t="s">
        <v>66</v>
      </c>
      <c r="O547" t="s">
        <v>30</v>
      </c>
      <c r="P547" t="s">
        <v>176</v>
      </c>
      <c r="Q547" t="s">
        <v>2025</v>
      </c>
      <c r="R547" s="2">
        <v>304.43</v>
      </c>
      <c r="S547">
        <v>6</v>
      </c>
      <c r="T547" s="3">
        <v>0.05</v>
      </c>
      <c r="U547" s="2">
        <v>32.270000000000003</v>
      </c>
    </row>
    <row r="548" spans="1:21" x14ac:dyDescent="0.35">
      <c r="A548">
        <v>134</v>
      </c>
      <c r="B548" t="s">
        <v>2026</v>
      </c>
      <c r="C548" s="1">
        <v>45562</v>
      </c>
      <c r="D548" s="1">
        <v>45565</v>
      </c>
      <c r="E548" t="s">
        <v>34</v>
      </c>
      <c r="F548" t="s">
        <v>2027</v>
      </c>
      <c r="G548" t="s">
        <v>1125</v>
      </c>
      <c r="H548" t="s">
        <v>37</v>
      </c>
      <c r="I548" t="s">
        <v>26</v>
      </c>
      <c r="J548" t="s">
        <v>82</v>
      </c>
      <c r="K548" t="s">
        <v>82</v>
      </c>
      <c r="L548">
        <v>89025</v>
      </c>
      <c r="M548" t="s">
        <v>28</v>
      </c>
      <c r="N548" t="s">
        <v>194</v>
      </c>
      <c r="O548" t="s">
        <v>58</v>
      </c>
      <c r="P548" t="s">
        <v>307</v>
      </c>
      <c r="Q548" t="s">
        <v>740</v>
      </c>
      <c r="R548" s="2">
        <v>234.74</v>
      </c>
      <c r="S548">
        <v>1</v>
      </c>
      <c r="T548" s="3">
        <v>0.1</v>
      </c>
      <c r="U548" s="2">
        <v>39.119999999999997</v>
      </c>
    </row>
    <row r="549" spans="1:21" x14ac:dyDescent="0.35">
      <c r="A549">
        <v>20</v>
      </c>
      <c r="B549" t="s">
        <v>2028</v>
      </c>
      <c r="C549" s="1">
        <v>45565</v>
      </c>
      <c r="D549" s="1">
        <v>45571</v>
      </c>
      <c r="E549" t="s">
        <v>34</v>
      </c>
      <c r="F549" t="s">
        <v>2029</v>
      </c>
      <c r="G549" t="s">
        <v>1009</v>
      </c>
      <c r="H549" t="s">
        <v>25</v>
      </c>
      <c r="I549" t="s">
        <v>26</v>
      </c>
      <c r="J549" t="s">
        <v>204</v>
      </c>
      <c r="K549" t="s">
        <v>204</v>
      </c>
      <c r="L549">
        <v>42217</v>
      </c>
      <c r="M549" t="s">
        <v>39</v>
      </c>
      <c r="N549" t="s">
        <v>2030</v>
      </c>
      <c r="O549" t="s">
        <v>30</v>
      </c>
      <c r="P549" t="s">
        <v>31</v>
      </c>
      <c r="Q549" t="s">
        <v>2031</v>
      </c>
      <c r="R549" s="2">
        <v>312.45999999999998</v>
      </c>
      <c r="S549">
        <v>4</v>
      </c>
      <c r="T549" s="3">
        <v>0</v>
      </c>
      <c r="U549" s="2">
        <v>43.8</v>
      </c>
    </row>
    <row r="550" spans="1:21" x14ac:dyDescent="0.35">
      <c r="A550">
        <v>49</v>
      </c>
      <c r="B550" t="s">
        <v>2032</v>
      </c>
      <c r="C550" s="1">
        <v>45568</v>
      </c>
      <c r="D550" s="1">
        <v>45571</v>
      </c>
      <c r="E550" t="s">
        <v>34</v>
      </c>
      <c r="F550" t="s">
        <v>2033</v>
      </c>
      <c r="G550" t="s">
        <v>730</v>
      </c>
      <c r="H550" t="s">
        <v>37</v>
      </c>
      <c r="I550" t="s">
        <v>26</v>
      </c>
      <c r="J550" t="s">
        <v>127</v>
      </c>
      <c r="K550" t="s">
        <v>127</v>
      </c>
      <c r="L550">
        <v>76656</v>
      </c>
      <c r="M550" t="s">
        <v>56</v>
      </c>
      <c r="N550" t="s">
        <v>2034</v>
      </c>
      <c r="O550" t="s">
        <v>30</v>
      </c>
      <c r="P550" t="s">
        <v>100</v>
      </c>
      <c r="Q550" t="s">
        <v>790</v>
      </c>
      <c r="R550" s="2">
        <v>263.02</v>
      </c>
      <c r="S550">
        <v>2</v>
      </c>
      <c r="T550" s="3">
        <v>0</v>
      </c>
      <c r="U550" s="2">
        <v>52.06</v>
      </c>
    </row>
    <row r="551" spans="1:21" x14ac:dyDescent="0.35">
      <c r="A551">
        <v>205</v>
      </c>
      <c r="B551" t="s">
        <v>2035</v>
      </c>
      <c r="C551" s="1">
        <v>45569</v>
      </c>
      <c r="D551" s="1">
        <v>45572</v>
      </c>
      <c r="E551" t="s">
        <v>45</v>
      </c>
      <c r="F551" t="s">
        <v>675</v>
      </c>
      <c r="G551" t="s">
        <v>70</v>
      </c>
      <c r="H551" t="s">
        <v>37</v>
      </c>
      <c r="I551" t="s">
        <v>26</v>
      </c>
      <c r="J551" t="s">
        <v>233</v>
      </c>
      <c r="K551" t="s">
        <v>233</v>
      </c>
      <c r="L551">
        <v>67620</v>
      </c>
      <c r="M551" t="s">
        <v>65</v>
      </c>
      <c r="N551" t="s">
        <v>2036</v>
      </c>
      <c r="O551" t="s">
        <v>30</v>
      </c>
      <c r="P551" t="s">
        <v>31</v>
      </c>
      <c r="Q551" t="s">
        <v>1720</v>
      </c>
      <c r="R551" s="2">
        <v>63.27</v>
      </c>
      <c r="S551">
        <v>4</v>
      </c>
      <c r="T551" s="3">
        <v>0.1</v>
      </c>
      <c r="U551" s="2">
        <v>3.87</v>
      </c>
    </row>
    <row r="552" spans="1:21" x14ac:dyDescent="0.35">
      <c r="A552">
        <v>26</v>
      </c>
      <c r="B552" t="s">
        <v>2037</v>
      </c>
      <c r="C552" s="1">
        <v>45570</v>
      </c>
      <c r="D552" s="1">
        <v>45574</v>
      </c>
      <c r="E552" t="s">
        <v>34</v>
      </c>
      <c r="F552" t="s">
        <v>2038</v>
      </c>
      <c r="G552" t="s">
        <v>439</v>
      </c>
      <c r="H552" t="s">
        <v>54</v>
      </c>
      <c r="I552" t="s">
        <v>26</v>
      </c>
      <c r="J552" t="s">
        <v>168</v>
      </c>
      <c r="K552" t="s">
        <v>168</v>
      </c>
      <c r="L552">
        <v>76234</v>
      </c>
      <c r="M552" t="s">
        <v>28</v>
      </c>
      <c r="N552" t="s">
        <v>2039</v>
      </c>
      <c r="O552" t="s">
        <v>58</v>
      </c>
      <c r="P552" t="s">
        <v>89</v>
      </c>
      <c r="Q552" t="s">
        <v>2040</v>
      </c>
      <c r="R552" s="2">
        <v>121.45</v>
      </c>
      <c r="S552">
        <v>3</v>
      </c>
      <c r="T552" s="3">
        <v>0</v>
      </c>
      <c r="U552" s="2">
        <v>32.25</v>
      </c>
    </row>
    <row r="553" spans="1:21" x14ac:dyDescent="0.35">
      <c r="A553">
        <v>333</v>
      </c>
      <c r="B553" t="s">
        <v>2041</v>
      </c>
      <c r="C553" s="1">
        <v>45570</v>
      </c>
      <c r="D553" s="1">
        <v>45576</v>
      </c>
      <c r="E553" t="s">
        <v>45</v>
      </c>
      <c r="F553" t="s">
        <v>2042</v>
      </c>
      <c r="G553" t="s">
        <v>500</v>
      </c>
      <c r="H553" t="s">
        <v>25</v>
      </c>
      <c r="I553" t="s">
        <v>26</v>
      </c>
      <c r="J553" t="s">
        <v>27</v>
      </c>
      <c r="K553" t="s">
        <v>27</v>
      </c>
      <c r="L553">
        <v>36331</v>
      </c>
      <c r="M553" t="s">
        <v>28</v>
      </c>
      <c r="N553" t="s">
        <v>1258</v>
      </c>
      <c r="O553" t="s">
        <v>30</v>
      </c>
      <c r="P553" t="s">
        <v>176</v>
      </c>
      <c r="Q553" t="s">
        <v>2043</v>
      </c>
      <c r="R553" s="2">
        <v>167.78</v>
      </c>
      <c r="S553">
        <v>7</v>
      </c>
      <c r="T553" s="3">
        <v>0</v>
      </c>
      <c r="U553" s="2">
        <v>25.56</v>
      </c>
    </row>
    <row r="554" spans="1:21" x14ac:dyDescent="0.35">
      <c r="A554">
        <v>276</v>
      </c>
      <c r="B554" t="s">
        <v>2044</v>
      </c>
      <c r="C554" s="1">
        <v>45570</v>
      </c>
      <c r="D554" s="1">
        <v>45572</v>
      </c>
      <c r="E554" t="s">
        <v>34</v>
      </c>
      <c r="F554" t="s">
        <v>2045</v>
      </c>
      <c r="G554" t="s">
        <v>511</v>
      </c>
      <c r="H554" t="s">
        <v>37</v>
      </c>
      <c r="I554" t="s">
        <v>26</v>
      </c>
      <c r="J554" t="s">
        <v>472</v>
      </c>
      <c r="K554" t="s">
        <v>472</v>
      </c>
      <c r="L554">
        <v>20310</v>
      </c>
      <c r="M554" t="s">
        <v>56</v>
      </c>
      <c r="N554" t="s">
        <v>1965</v>
      </c>
      <c r="O554" t="s">
        <v>30</v>
      </c>
      <c r="P554" t="s">
        <v>100</v>
      </c>
      <c r="Q554" t="s">
        <v>645</v>
      </c>
      <c r="R554" s="2">
        <v>43.55</v>
      </c>
      <c r="S554">
        <v>4</v>
      </c>
      <c r="T554" s="3">
        <v>0.1</v>
      </c>
      <c r="U554" s="2">
        <v>5.35</v>
      </c>
    </row>
    <row r="555" spans="1:21" x14ac:dyDescent="0.35">
      <c r="A555">
        <v>460</v>
      </c>
      <c r="B555" t="s">
        <v>2046</v>
      </c>
      <c r="C555" s="1">
        <v>45571</v>
      </c>
      <c r="D555" s="1">
        <v>45577</v>
      </c>
      <c r="E555" t="s">
        <v>34</v>
      </c>
      <c r="F555" t="s">
        <v>2047</v>
      </c>
      <c r="G555" t="s">
        <v>773</v>
      </c>
      <c r="H555" t="s">
        <v>37</v>
      </c>
      <c r="I555" t="s">
        <v>26</v>
      </c>
      <c r="J555" t="s">
        <v>193</v>
      </c>
      <c r="K555" t="s">
        <v>193</v>
      </c>
      <c r="L555">
        <v>27157</v>
      </c>
      <c r="M555" t="s">
        <v>39</v>
      </c>
      <c r="N555" t="s">
        <v>1466</v>
      </c>
      <c r="O555" t="s">
        <v>58</v>
      </c>
      <c r="P555" t="s">
        <v>89</v>
      </c>
      <c r="Q555" t="s">
        <v>408</v>
      </c>
      <c r="R555" s="2">
        <v>348.86</v>
      </c>
      <c r="S555">
        <v>7</v>
      </c>
      <c r="T555" s="3">
        <v>0.1</v>
      </c>
      <c r="U555" s="2">
        <v>81.3</v>
      </c>
    </row>
    <row r="556" spans="1:21" x14ac:dyDescent="0.35">
      <c r="A556">
        <v>8</v>
      </c>
      <c r="B556" t="s">
        <v>2048</v>
      </c>
      <c r="C556" s="1">
        <v>45574</v>
      </c>
      <c r="D556" s="1">
        <v>45579</v>
      </c>
      <c r="E556" t="s">
        <v>34</v>
      </c>
      <c r="F556" t="s">
        <v>2049</v>
      </c>
      <c r="G556" t="s">
        <v>676</v>
      </c>
      <c r="H556" t="s">
        <v>54</v>
      </c>
      <c r="I556" t="s">
        <v>26</v>
      </c>
      <c r="J556" t="s">
        <v>162</v>
      </c>
      <c r="K556" t="s">
        <v>162</v>
      </c>
      <c r="L556">
        <v>65016</v>
      </c>
      <c r="M556" t="s">
        <v>28</v>
      </c>
      <c r="N556" t="s">
        <v>2050</v>
      </c>
      <c r="O556" t="s">
        <v>30</v>
      </c>
      <c r="P556" t="s">
        <v>100</v>
      </c>
      <c r="Q556" t="s">
        <v>2051</v>
      </c>
      <c r="R556" s="2">
        <v>107.82</v>
      </c>
      <c r="S556">
        <v>1</v>
      </c>
      <c r="T556" s="3">
        <v>0.1</v>
      </c>
      <c r="U556" s="2">
        <v>7.38</v>
      </c>
    </row>
    <row r="557" spans="1:21" x14ac:dyDescent="0.35">
      <c r="A557">
        <v>132</v>
      </c>
      <c r="B557" t="s">
        <v>2052</v>
      </c>
      <c r="C557" s="1">
        <v>45576</v>
      </c>
      <c r="D557" s="1">
        <v>45579</v>
      </c>
      <c r="E557" t="s">
        <v>34</v>
      </c>
      <c r="F557" t="s">
        <v>2053</v>
      </c>
      <c r="G557" t="s">
        <v>167</v>
      </c>
      <c r="H557" t="s">
        <v>25</v>
      </c>
      <c r="I557" t="s">
        <v>26</v>
      </c>
      <c r="J557" t="s">
        <v>331</v>
      </c>
      <c r="K557" t="s">
        <v>331</v>
      </c>
      <c r="L557">
        <v>78673</v>
      </c>
      <c r="M557" t="s">
        <v>28</v>
      </c>
      <c r="N557" t="s">
        <v>2054</v>
      </c>
      <c r="O557" t="s">
        <v>30</v>
      </c>
      <c r="P557" t="s">
        <v>157</v>
      </c>
      <c r="Q557" t="s">
        <v>1920</v>
      </c>
      <c r="R557" s="2">
        <v>75.36</v>
      </c>
      <c r="S557">
        <v>1</v>
      </c>
      <c r="T557" s="3">
        <v>0.15</v>
      </c>
      <c r="U557" s="2">
        <v>3.49</v>
      </c>
    </row>
    <row r="558" spans="1:21" x14ac:dyDescent="0.35">
      <c r="A558">
        <v>180</v>
      </c>
      <c r="B558" t="s">
        <v>2055</v>
      </c>
      <c r="C558" s="1">
        <v>45578</v>
      </c>
      <c r="D558" s="1">
        <v>45580</v>
      </c>
      <c r="E558" t="s">
        <v>34</v>
      </c>
      <c r="F558" t="s">
        <v>2056</v>
      </c>
      <c r="G558" t="s">
        <v>402</v>
      </c>
      <c r="H558" t="s">
        <v>25</v>
      </c>
      <c r="I558" t="s">
        <v>26</v>
      </c>
      <c r="J558" t="s">
        <v>181</v>
      </c>
      <c r="K558" t="s">
        <v>181</v>
      </c>
      <c r="L558">
        <v>24122</v>
      </c>
      <c r="M558" t="s">
        <v>65</v>
      </c>
      <c r="N558" t="s">
        <v>563</v>
      </c>
      <c r="O558" t="s">
        <v>41</v>
      </c>
      <c r="P558" t="s">
        <v>134</v>
      </c>
      <c r="Q558" t="s">
        <v>135</v>
      </c>
      <c r="R558" s="2">
        <v>78.98</v>
      </c>
      <c r="S558">
        <v>4</v>
      </c>
      <c r="T558" s="3">
        <v>0.3</v>
      </c>
      <c r="U558" s="2">
        <v>-1.34</v>
      </c>
    </row>
    <row r="559" spans="1:21" x14ac:dyDescent="0.35">
      <c r="A559">
        <v>561</v>
      </c>
      <c r="B559" t="s">
        <v>2057</v>
      </c>
      <c r="C559" s="1">
        <v>45579</v>
      </c>
      <c r="D559" s="1">
        <v>45581</v>
      </c>
      <c r="E559" t="s">
        <v>34</v>
      </c>
      <c r="F559" t="s">
        <v>2058</v>
      </c>
      <c r="G559" t="s">
        <v>70</v>
      </c>
      <c r="H559" t="s">
        <v>25</v>
      </c>
      <c r="I559" t="s">
        <v>26</v>
      </c>
      <c r="J559" t="s">
        <v>139</v>
      </c>
      <c r="K559" t="s">
        <v>139</v>
      </c>
      <c r="L559">
        <v>98365</v>
      </c>
      <c r="M559" t="s">
        <v>65</v>
      </c>
      <c r="N559" t="s">
        <v>2059</v>
      </c>
      <c r="O559" t="s">
        <v>30</v>
      </c>
      <c r="P559" t="s">
        <v>157</v>
      </c>
      <c r="Q559" t="s">
        <v>158</v>
      </c>
      <c r="R559" s="2">
        <v>146.08000000000001</v>
      </c>
      <c r="S559">
        <v>5</v>
      </c>
      <c r="T559" s="3">
        <v>0.2</v>
      </c>
      <c r="U559" s="2">
        <v>6.49</v>
      </c>
    </row>
    <row r="560" spans="1:21" x14ac:dyDescent="0.35">
      <c r="A560">
        <v>393</v>
      </c>
      <c r="B560" t="s">
        <v>2060</v>
      </c>
      <c r="C560" s="1">
        <v>45579</v>
      </c>
      <c r="D560" s="1">
        <v>45581</v>
      </c>
      <c r="E560" t="s">
        <v>34</v>
      </c>
      <c r="F560" t="s">
        <v>2061</v>
      </c>
      <c r="G560" t="s">
        <v>892</v>
      </c>
      <c r="H560" t="s">
        <v>37</v>
      </c>
      <c r="I560" t="s">
        <v>26</v>
      </c>
      <c r="J560" t="s">
        <v>55</v>
      </c>
      <c r="K560" t="s">
        <v>55</v>
      </c>
      <c r="L560">
        <v>58037</v>
      </c>
      <c r="M560" t="s">
        <v>56</v>
      </c>
      <c r="N560" t="s">
        <v>2050</v>
      </c>
      <c r="O560" t="s">
        <v>41</v>
      </c>
      <c r="P560" t="s">
        <v>170</v>
      </c>
      <c r="Q560" t="s">
        <v>1893</v>
      </c>
      <c r="R560" s="2">
        <v>74.92</v>
      </c>
      <c r="S560">
        <v>6</v>
      </c>
      <c r="T560" s="3">
        <v>0.15</v>
      </c>
      <c r="U560" s="2">
        <v>6.69</v>
      </c>
    </row>
    <row r="561" spans="1:21" x14ac:dyDescent="0.35">
      <c r="A561">
        <v>197</v>
      </c>
      <c r="B561" t="s">
        <v>2062</v>
      </c>
      <c r="C561" s="1">
        <v>45580</v>
      </c>
      <c r="D561" s="1">
        <v>45583</v>
      </c>
      <c r="E561" t="s">
        <v>45</v>
      </c>
      <c r="F561" t="s">
        <v>2063</v>
      </c>
      <c r="G561" t="s">
        <v>899</v>
      </c>
      <c r="H561" t="s">
        <v>25</v>
      </c>
      <c r="I561" t="s">
        <v>26</v>
      </c>
      <c r="J561" t="s">
        <v>71</v>
      </c>
      <c r="K561" t="s">
        <v>71</v>
      </c>
      <c r="L561">
        <v>26193</v>
      </c>
      <c r="M561" t="s">
        <v>56</v>
      </c>
      <c r="N561" t="s">
        <v>1627</v>
      </c>
      <c r="O561" t="s">
        <v>41</v>
      </c>
      <c r="P561" t="s">
        <v>106</v>
      </c>
      <c r="Q561" t="s">
        <v>767</v>
      </c>
      <c r="R561" s="2">
        <v>64.95</v>
      </c>
      <c r="S561">
        <v>7</v>
      </c>
      <c r="T561" s="3">
        <v>0.05</v>
      </c>
      <c r="U561" s="2">
        <v>17.989999999999998</v>
      </c>
    </row>
    <row r="562" spans="1:21" x14ac:dyDescent="0.35">
      <c r="A562">
        <v>38</v>
      </c>
      <c r="B562" t="s">
        <v>2064</v>
      </c>
      <c r="C562" s="1">
        <v>45581</v>
      </c>
      <c r="D562" s="1">
        <v>45583</v>
      </c>
      <c r="E562" t="s">
        <v>34</v>
      </c>
      <c r="F562" t="s">
        <v>2065</v>
      </c>
      <c r="G562" t="s">
        <v>149</v>
      </c>
      <c r="H562" t="s">
        <v>37</v>
      </c>
      <c r="I562" t="s">
        <v>26</v>
      </c>
      <c r="J562" t="s">
        <v>55</v>
      </c>
      <c r="K562" t="s">
        <v>55</v>
      </c>
      <c r="L562">
        <v>46586</v>
      </c>
      <c r="M562" t="s">
        <v>56</v>
      </c>
      <c r="N562" t="s">
        <v>2066</v>
      </c>
      <c r="O562" t="s">
        <v>58</v>
      </c>
      <c r="P562" t="s">
        <v>59</v>
      </c>
      <c r="Q562" t="s">
        <v>2067</v>
      </c>
      <c r="R562" s="2">
        <v>502.5</v>
      </c>
      <c r="S562">
        <v>4</v>
      </c>
      <c r="T562" s="3">
        <v>0</v>
      </c>
      <c r="U562" s="2">
        <v>146.11000000000001</v>
      </c>
    </row>
    <row r="563" spans="1:21" x14ac:dyDescent="0.35">
      <c r="A563">
        <v>237</v>
      </c>
      <c r="B563" t="s">
        <v>2068</v>
      </c>
      <c r="C563" s="1">
        <v>45586</v>
      </c>
      <c r="D563" s="1">
        <v>45590</v>
      </c>
      <c r="E563" t="s">
        <v>34</v>
      </c>
      <c r="F563" t="s">
        <v>2069</v>
      </c>
      <c r="G563" t="s">
        <v>797</v>
      </c>
      <c r="H563" t="s">
        <v>25</v>
      </c>
      <c r="I563" t="s">
        <v>26</v>
      </c>
      <c r="J563" t="s">
        <v>187</v>
      </c>
      <c r="K563" t="s">
        <v>187</v>
      </c>
      <c r="L563">
        <v>26061</v>
      </c>
      <c r="M563" t="s">
        <v>39</v>
      </c>
      <c r="N563" t="s">
        <v>609</v>
      </c>
      <c r="O563" t="s">
        <v>41</v>
      </c>
      <c r="P563" t="s">
        <v>170</v>
      </c>
      <c r="Q563" t="s">
        <v>2070</v>
      </c>
      <c r="R563" s="2">
        <v>55.03</v>
      </c>
      <c r="S563">
        <v>1</v>
      </c>
      <c r="T563" s="3">
        <v>0.05</v>
      </c>
      <c r="U563" s="2">
        <v>9.77</v>
      </c>
    </row>
    <row r="564" spans="1:21" x14ac:dyDescent="0.35">
      <c r="A564">
        <v>4</v>
      </c>
      <c r="B564" t="s">
        <v>2071</v>
      </c>
      <c r="C564" s="1">
        <v>45587</v>
      </c>
      <c r="D564" s="1">
        <v>45590</v>
      </c>
      <c r="E564" t="s">
        <v>22</v>
      </c>
      <c r="F564" t="s">
        <v>2072</v>
      </c>
      <c r="G564" t="s">
        <v>1162</v>
      </c>
      <c r="H564" t="s">
        <v>25</v>
      </c>
      <c r="I564" t="s">
        <v>26</v>
      </c>
      <c r="J564" t="s">
        <v>472</v>
      </c>
      <c r="K564" t="s">
        <v>472</v>
      </c>
      <c r="L564">
        <v>99812</v>
      </c>
      <c r="M564" t="s">
        <v>56</v>
      </c>
      <c r="N564" t="s">
        <v>2073</v>
      </c>
      <c r="O564" t="s">
        <v>41</v>
      </c>
      <c r="P564" t="s">
        <v>151</v>
      </c>
      <c r="Q564" t="s">
        <v>881</v>
      </c>
      <c r="R564" s="2">
        <v>105.04</v>
      </c>
      <c r="S564">
        <v>7</v>
      </c>
      <c r="T564" s="3">
        <v>0.15</v>
      </c>
      <c r="U564" s="2">
        <v>13.68</v>
      </c>
    </row>
    <row r="565" spans="1:21" x14ac:dyDescent="0.35">
      <c r="A565">
        <v>564</v>
      </c>
      <c r="B565" t="s">
        <v>2074</v>
      </c>
      <c r="C565" s="1">
        <v>45591</v>
      </c>
      <c r="D565" s="1">
        <v>45593</v>
      </c>
      <c r="E565" t="s">
        <v>34</v>
      </c>
      <c r="F565" t="s">
        <v>2075</v>
      </c>
      <c r="G565" t="s">
        <v>70</v>
      </c>
      <c r="H565" t="s">
        <v>37</v>
      </c>
      <c r="I565" t="s">
        <v>26</v>
      </c>
      <c r="J565" t="s">
        <v>71</v>
      </c>
      <c r="K565" t="s">
        <v>71</v>
      </c>
      <c r="L565">
        <v>11652</v>
      </c>
      <c r="M565" t="s">
        <v>56</v>
      </c>
      <c r="N565" t="s">
        <v>1633</v>
      </c>
      <c r="O565" t="s">
        <v>30</v>
      </c>
      <c r="P565" t="s">
        <v>157</v>
      </c>
      <c r="Q565" t="s">
        <v>572</v>
      </c>
      <c r="R565" s="2">
        <v>95.08</v>
      </c>
      <c r="S565">
        <v>5</v>
      </c>
      <c r="T565" s="3">
        <v>0.15</v>
      </c>
      <c r="U565" s="2">
        <v>10.18</v>
      </c>
    </row>
    <row r="566" spans="1:21" x14ac:dyDescent="0.35">
      <c r="A566">
        <v>403</v>
      </c>
      <c r="B566" t="s">
        <v>2076</v>
      </c>
      <c r="C566" s="1">
        <v>45592</v>
      </c>
      <c r="D566" s="1">
        <v>45596</v>
      </c>
      <c r="E566" t="s">
        <v>45</v>
      </c>
      <c r="F566" t="s">
        <v>2077</v>
      </c>
      <c r="G566" t="s">
        <v>1030</v>
      </c>
      <c r="H566" t="s">
        <v>25</v>
      </c>
      <c r="I566" t="s">
        <v>26</v>
      </c>
      <c r="J566" t="s">
        <v>162</v>
      </c>
      <c r="K566" t="s">
        <v>162</v>
      </c>
      <c r="L566">
        <v>84991</v>
      </c>
      <c r="M566" t="s">
        <v>28</v>
      </c>
      <c r="N566" t="s">
        <v>2078</v>
      </c>
      <c r="O566" t="s">
        <v>58</v>
      </c>
      <c r="P566" t="s">
        <v>307</v>
      </c>
      <c r="Q566" t="s">
        <v>2079</v>
      </c>
      <c r="R566" s="2">
        <v>187.43</v>
      </c>
      <c r="S566">
        <v>6</v>
      </c>
      <c r="T566" s="3">
        <v>0.4</v>
      </c>
      <c r="U566" s="2">
        <v>-11.56</v>
      </c>
    </row>
    <row r="567" spans="1:21" x14ac:dyDescent="0.35">
      <c r="A567">
        <v>167</v>
      </c>
      <c r="B567" t="s">
        <v>2080</v>
      </c>
      <c r="C567" s="1">
        <v>45597</v>
      </c>
      <c r="D567" s="1">
        <v>45600</v>
      </c>
      <c r="E567" t="s">
        <v>34</v>
      </c>
      <c r="F567" t="s">
        <v>2081</v>
      </c>
      <c r="G567" t="s">
        <v>730</v>
      </c>
      <c r="H567" t="s">
        <v>37</v>
      </c>
      <c r="I567" t="s">
        <v>26</v>
      </c>
      <c r="J567" t="s">
        <v>472</v>
      </c>
      <c r="K567" t="s">
        <v>472</v>
      </c>
      <c r="L567">
        <v>32736</v>
      </c>
      <c r="M567" t="s">
        <v>56</v>
      </c>
      <c r="N567" t="s">
        <v>2082</v>
      </c>
      <c r="O567" t="s">
        <v>58</v>
      </c>
      <c r="P567" t="s">
        <v>89</v>
      </c>
      <c r="Q567" t="s">
        <v>1954</v>
      </c>
      <c r="R567" s="2">
        <v>39.26</v>
      </c>
      <c r="S567">
        <v>1</v>
      </c>
      <c r="T567" s="3">
        <v>0</v>
      </c>
      <c r="U567" s="2">
        <v>10.08</v>
      </c>
    </row>
    <row r="568" spans="1:21" x14ac:dyDescent="0.35">
      <c r="A568">
        <v>171</v>
      </c>
      <c r="B568" t="s">
        <v>2083</v>
      </c>
      <c r="C568" s="1">
        <v>45598</v>
      </c>
      <c r="D568" s="1">
        <v>45601</v>
      </c>
      <c r="E568" t="s">
        <v>45</v>
      </c>
      <c r="F568" t="s">
        <v>2084</v>
      </c>
      <c r="G568" t="s">
        <v>104</v>
      </c>
      <c r="H568" t="s">
        <v>25</v>
      </c>
      <c r="I568" t="s">
        <v>26</v>
      </c>
      <c r="J568" t="s">
        <v>64</v>
      </c>
      <c r="K568" t="s">
        <v>64</v>
      </c>
      <c r="L568">
        <v>28135</v>
      </c>
      <c r="M568" t="s">
        <v>65</v>
      </c>
      <c r="N568" t="s">
        <v>1082</v>
      </c>
      <c r="O568" t="s">
        <v>41</v>
      </c>
      <c r="P568" t="s">
        <v>106</v>
      </c>
      <c r="Q568" t="s">
        <v>2085</v>
      </c>
      <c r="R568" s="2">
        <v>21.08</v>
      </c>
      <c r="S568">
        <v>6</v>
      </c>
      <c r="T568" s="3">
        <v>0.05</v>
      </c>
      <c r="U568" s="2">
        <v>5.29</v>
      </c>
    </row>
    <row r="569" spans="1:21" x14ac:dyDescent="0.35">
      <c r="A569">
        <v>229</v>
      </c>
      <c r="B569" t="s">
        <v>2086</v>
      </c>
      <c r="C569" s="1">
        <v>45598</v>
      </c>
      <c r="D569" s="1">
        <v>45599</v>
      </c>
      <c r="E569" t="s">
        <v>34</v>
      </c>
      <c r="F569" t="s">
        <v>2087</v>
      </c>
      <c r="G569" t="s">
        <v>98</v>
      </c>
      <c r="H569" t="s">
        <v>25</v>
      </c>
      <c r="I569" t="s">
        <v>26</v>
      </c>
      <c r="J569" t="s">
        <v>181</v>
      </c>
      <c r="K569" t="s">
        <v>181</v>
      </c>
      <c r="L569">
        <v>32765</v>
      </c>
      <c r="M569" t="s">
        <v>65</v>
      </c>
      <c r="N569" t="s">
        <v>1979</v>
      </c>
      <c r="O569" t="s">
        <v>30</v>
      </c>
      <c r="P569" t="s">
        <v>100</v>
      </c>
      <c r="Q569" t="s">
        <v>427</v>
      </c>
      <c r="R569" s="2">
        <v>80.209999999999994</v>
      </c>
      <c r="S569">
        <v>3</v>
      </c>
      <c r="T569" s="3">
        <v>0.15</v>
      </c>
      <c r="U569" s="2">
        <v>4.5199999999999996</v>
      </c>
    </row>
    <row r="570" spans="1:21" x14ac:dyDescent="0.35">
      <c r="A570">
        <v>546</v>
      </c>
      <c r="B570" t="s">
        <v>2088</v>
      </c>
      <c r="C570" s="1">
        <v>45600</v>
      </c>
      <c r="D570" s="1">
        <v>45603</v>
      </c>
      <c r="E570" t="s">
        <v>34</v>
      </c>
      <c r="F570" t="s">
        <v>2089</v>
      </c>
      <c r="G570" t="s">
        <v>1267</v>
      </c>
      <c r="H570" t="s">
        <v>37</v>
      </c>
      <c r="I570" t="s">
        <v>26</v>
      </c>
      <c r="J570" t="s">
        <v>193</v>
      </c>
      <c r="K570" t="s">
        <v>193</v>
      </c>
      <c r="L570">
        <v>16487</v>
      </c>
      <c r="M570" t="s">
        <v>39</v>
      </c>
      <c r="N570" t="s">
        <v>1796</v>
      </c>
      <c r="O570" t="s">
        <v>58</v>
      </c>
      <c r="P570" t="s">
        <v>307</v>
      </c>
      <c r="Q570" t="s">
        <v>2090</v>
      </c>
      <c r="R570" s="2">
        <v>306.95</v>
      </c>
      <c r="S570">
        <v>5</v>
      </c>
      <c r="T570" s="3">
        <v>0.4</v>
      </c>
      <c r="U570" s="2">
        <v>-20.58</v>
      </c>
    </row>
    <row r="571" spans="1:21" x14ac:dyDescent="0.35">
      <c r="A571">
        <v>123</v>
      </c>
      <c r="B571" t="s">
        <v>2091</v>
      </c>
      <c r="C571" s="1">
        <v>45605</v>
      </c>
      <c r="D571" s="1">
        <v>45608</v>
      </c>
      <c r="E571" t="s">
        <v>290</v>
      </c>
      <c r="F571" t="s">
        <v>2092</v>
      </c>
      <c r="G571" t="s">
        <v>110</v>
      </c>
      <c r="H571" t="s">
        <v>54</v>
      </c>
      <c r="I571" t="s">
        <v>26</v>
      </c>
      <c r="J571" t="s">
        <v>38</v>
      </c>
      <c r="K571" t="s">
        <v>38</v>
      </c>
      <c r="L571">
        <v>12023</v>
      </c>
      <c r="M571" t="s">
        <v>39</v>
      </c>
      <c r="N571" t="s">
        <v>2093</v>
      </c>
      <c r="O571" t="s">
        <v>58</v>
      </c>
      <c r="P571" t="s">
        <v>112</v>
      </c>
      <c r="Q571" t="s">
        <v>113</v>
      </c>
      <c r="R571" s="2">
        <v>590.16999999999996</v>
      </c>
      <c r="S571">
        <v>6</v>
      </c>
      <c r="T571" s="3">
        <v>0.2</v>
      </c>
      <c r="U571" s="2">
        <v>28.76</v>
      </c>
    </row>
    <row r="572" spans="1:21" x14ac:dyDescent="0.35">
      <c r="A572">
        <v>166</v>
      </c>
      <c r="B572" t="s">
        <v>2094</v>
      </c>
      <c r="C572" s="1">
        <v>45608</v>
      </c>
      <c r="D572" s="1">
        <v>45613</v>
      </c>
      <c r="E572" t="s">
        <v>45</v>
      </c>
      <c r="F572" t="s">
        <v>2095</v>
      </c>
      <c r="G572" t="s">
        <v>613</v>
      </c>
      <c r="H572" t="s">
        <v>25</v>
      </c>
      <c r="I572" t="s">
        <v>26</v>
      </c>
      <c r="J572" t="s">
        <v>71</v>
      </c>
      <c r="K572" t="s">
        <v>71</v>
      </c>
      <c r="L572">
        <v>81126</v>
      </c>
      <c r="M572" t="s">
        <v>56</v>
      </c>
      <c r="N572" t="s">
        <v>1082</v>
      </c>
      <c r="O572" t="s">
        <v>41</v>
      </c>
      <c r="P572" t="s">
        <v>151</v>
      </c>
      <c r="Q572" t="s">
        <v>945</v>
      </c>
      <c r="R572" s="2">
        <v>77.2</v>
      </c>
      <c r="S572">
        <v>4</v>
      </c>
      <c r="T572" s="3">
        <v>0.1</v>
      </c>
      <c r="U572" s="2">
        <v>14.17</v>
      </c>
    </row>
    <row r="573" spans="1:21" x14ac:dyDescent="0.35">
      <c r="A573">
        <v>589</v>
      </c>
      <c r="B573" t="s">
        <v>2096</v>
      </c>
      <c r="C573" s="1">
        <v>45609</v>
      </c>
      <c r="D573" s="1">
        <v>45610</v>
      </c>
      <c r="E573" t="s">
        <v>34</v>
      </c>
      <c r="F573" t="s">
        <v>291</v>
      </c>
      <c r="G573" t="s">
        <v>192</v>
      </c>
      <c r="H573" t="s">
        <v>25</v>
      </c>
      <c r="I573" t="s">
        <v>26</v>
      </c>
      <c r="J573" t="s">
        <v>204</v>
      </c>
      <c r="K573" t="s">
        <v>204</v>
      </c>
      <c r="L573">
        <v>55704</v>
      </c>
      <c r="M573" t="s">
        <v>39</v>
      </c>
      <c r="N573" t="s">
        <v>626</v>
      </c>
      <c r="O573" t="s">
        <v>41</v>
      </c>
      <c r="P573" t="s">
        <v>73</v>
      </c>
      <c r="Q573" t="s">
        <v>2097</v>
      </c>
      <c r="R573" s="2">
        <v>77.790000000000006</v>
      </c>
      <c r="S573">
        <v>5</v>
      </c>
      <c r="T573" s="3">
        <v>0</v>
      </c>
      <c r="U573" s="2">
        <v>9.24</v>
      </c>
    </row>
    <row r="574" spans="1:21" x14ac:dyDescent="0.35">
      <c r="A574">
        <v>281</v>
      </c>
      <c r="B574" t="s">
        <v>2098</v>
      </c>
      <c r="C574" s="1">
        <v>45610</v>
      </c>
      <c r="D574" s="1">
        <v>45613</v>
      </c>
      <c r="E574" t="s">
        <v>34</v>
      </c>
      <c r="F574" t="s">
        <v>2099</v>
      </c>
      <c r="G574" t="s">
        <v>248</v>
      </c>
      <c r="H574" t="s">
        <v>25</v>
      </c>
      <c r="I574" t="s">
        <v>26</v>
      </c>
      <c r="J574" t="s">
        <v>64</v>
      </c>
      <c r="K574" t="s">
        <v>64</v>
      </c>
      <c r="L574">
        <v>87242</v>
      </c>
      <c r="M574" t="s">
        <v>65</v>
      </c>
      <c r="N574" t="s">
        <v>396</v>
      </c>
      <c r="O574" t="s">
        <v>41</v>
      </c>
      <c r="P574" t="s">
        <v>151</v>
      </c>
      <c r="Q574" t="s">
        <v>2100</v>
      </c>
      <c r="R574" s="2">
        <v>139.59</v>
      </c>
      <c r="S574">
        <v>1</v>
      </c>
      <c r="T574" s="3">
        <v>0</v>
      </c>
      <c r="U574" s="2">
        <v>36.93</v>
      </c>
    </row>
    <row r="575" spans="1:21" x14ac:dyDescent="0.35">
      <c r="A575">
        <v>362</v>
      </c>
      <c r="B575" t="s">
        <v>2101</v>
      </c>
      <c r="C575" s="1">
        <v>45611</v>
      </c>
      <c r="D575" s="1">
        <v>45614</v>
      </c>
      <c r="E575" t="s">
        <v>34</v>
      </c>
      <c r="F575" t="s">
        <v>2102</v>
      </c>
      <c r="G575" t="s">
        <v>378</v>
      </c>
      <c r="H575" t="s">
        <v>25</v>
      </c>
      <c r="I575" t="s">
        <v>26</v>
      </c>
      <c r="J575" t="s">
        <v>277</v>
      </c>
      <c r="K575" t="s">
        <v>277</v>
      </c>
      <c r="L575">
        <v>21437</v>
      </c>
      <c r="M575" t="s">
        <v>56</v>
      </c>
      <c r="N575" t="s">
        <v>1594</v>
      </c>
      <c r="O575" t="s">
        <v>41</v>
      </c>
      <c r="P575" t="s">
        <v>170</v>
      </c>
      <c r="Q575" t="s">
        <v>2070</v>
      </c>
      <c r="R575" s="2">
        <v>8</v>
      </c>
      <c r="S575">
        <v>7</v>
      </c>
      <c r="T575" s="3">
        <v>0.15</v>
      </c>
      <c r="U575" s="2">
        <v>1.1200000000000001</v>
      </c>
    </row>
    <row r="576" spans="1:21" x14ac:dyDescent="0.35">
      <c r="A576">
        <v>581</v>
      </c>
      <c r="B576" t="s">
        <v>2103</v>
      </c>
      <c r="C576" s="1">
        <v>45611</v>
      </c>
      <c r="D576" s="1">
        <v>45614</v>
      </c>
      <c r="E576" t="s">
        <v>34</v>
      </c>
      <c r="F576" t="s">
        <v>2104</v>
      </c>
      <c r="G576" t="s">
        <v>378</v>
      </c>
      <c r="H576" t="s">
        <v>54</v>
      </c>
      <c r="I576" t="s">
        <v>26</v>
      </c>
      <c r="J576" t="s">
        <v>82</v>
      </c>
      <c r="K576" t="s">
        <v>82</v>
      </c>
      <c r="L576">
        <v>48294</v>
      </c>
      <c r="M576" t="s">
        <v>28</v>
      </c>
      <c r="N576" t="s">
        <v>1411</v>
      </c>
      <c r="O576" t="s">
        <v>58</v>
      </c>
      <c r="P576" t="s">
        <v>112</v>
      </c>
      <c r="Q576" t="s">
        <v>1751</v>
      </c>
      <c r="R576" s="2">
        <v>107.42</v>
      </c>
      <c r="S576">
        <v>6</v>
      </c>
      <c r="T576" s="3">
        <v>0.5</v>
      </c>
      <c r="U576" s="2">
        <v>-16.350000000000001</v>
      </c>
    </row>
    <row r="577" spans="1:21" x14ac:dyDescent="0.35">
      <c r="A577">
        <v>587</v>
      </c>
      <c r="B577" t="s">
        <v>2105</v>
      </c>
      <c r="C577" s="1">
        <v>45612</v>
      </c>
      <c r="D577" s="1">
        <v>45615</v>
      </c>
      <c r="E577" t="s">
        <v>34</v>
      </c>
      <c r="F577" t="s">
        <v>2106</v>
      </c>
      <c r="G577" t="s">
        <v>797</v>
      </c>
      <c r="H577" t="s">
        <v>54</v>
      </c>
      <c r="I577" t="s">
        <v>26</v>
      </c>
      <c r="J577" t="s">
        <v>82</v>
      </c>
      <c r="K577" t="s">
        <v>82</v>
      </c>
      <c r="L577">
        <v>82467</v>
      </c>
      <c r="M577" t="s">
        <v>28</v>
      </c>
      <c r="N577" t="s">
        <v>2107</v>
      </c>
      <c r="O577" t="s">
        <v>41</v>
      </c>
      <c r="P577" t="s">
        <v>106</v>
      </c>
      <c r="Q577" t="s">
        <v>2108</v>
      </c>
      <c r="R577" s="2">
        <v>180.54</v>
      </c>
      <c r="S577">
        <v>6</v>
      </c>
      <c r="T577" s="3">
        <v>0.1</v>
      </c>
      <c r="U577" s="2">
        <v>34.270000000000003</v>
      </c>
    </row>
    <row r="578" spans="1:21" x14ac:dyDescent="0.35">
      <c r="A578">
        <v>369</v>
      </c>
      <c r="B578" t="s">
        <v>2109</v>
      </c>
      <c r="C578" s="1">
        <v>45613</v>
      </c>
      <c r="D578" s="1">
        <v>45616</v>
      </c>
      <c r="E578" t="s">
        <v>34</v>
      </c>
      <c r="F578" t="s">
        <v>2110</v>
      </c>
      <c r="G578" t="s">
        <v>1267</v>
      </c>
      <c r="H578" t="s">
        <v>37</v>
      </c>
      <c r="I578" t="s">
        <v>26</v>
      </c>
      <c r="J578" t="s">
        <v>331</v>
      </c>
      <c r="K578" t="s">
        <v>331</v>
      </c>
      <c r="L578">
        <v>20931</v>
      </c>
      <c r="M578" t="s">
        <v>28</v>
      </c>
      <c r="N578" t="s">
        <v>1870</v>
      </c>
      <c r="O578" t="s">
        <v>30</v>
      </c>
      <c r="P578" t="s">
        <v>100</v>
      </c>
      <c r="Q578" t="s">
        <v>645</v>
      </c>
      <c r="R578" s="2">
        <v>183.75</v>
      </c>
      <c r="S578">
        <v>3</v>
      </c>
      <c r="T578" s="3">
        <v>0.3</v>
      </c>
      <c r="U578" s="2">
        <v>-22.32</v>
      </c>
    </row>
    <row r="579" spans="1:21" x14ac:dyDescent="0.35">
      <c r="A579">
        <v>502</v>
      </c>
      <c r="B579" t="s">
        <v>2111</v>
      </c>
      <c r="C579" s="1">
        <v>45618</v>
      </c>
      <c r="D579" s="1">
        <v>45621</v>
      </c>
      <c r="E579" t="s">
        <v>22</v>
      </c>
      <c r="F579" t="s">
        <v>2112</v>
      </c>
      <c r="G579" t="s">
        <v>634</v>
      </c>
      <c r="H579" t="s">
        <v>25</v>
      </c>
      <c r="I579" t="s">
        <v>26</v>
      </c>
      <c r="J579" t="s">
        <v>48</v>
      </c>
      <c r="K579" t="s">
        <v>48</v>
      </c>
      <c r="L579">
        <v>28756</v>
      </c>
      <c r="M579" t="s">
        <v>39</v>
      </c>
      <c r="N579" t="s">
        <v>2113</v>
      </c>
      <c r="O579" t="s">
        <v>58</v>
      </c>
      <c r="P579" t="s">
        <v>59</v>
      </c>
      <c r="Q579" t="s">
        <v>215</v>
      </c>
      <c r="R579" s="2">
        <v>114.59</v>
      </c>
      <c r="S579">
        <v>5</v>
      </c>
      <c r="T579" s="3">
        <v>0.5</v>
      </c>
      <c r="U579" s="2">
        <v>-18.239999999999998</v>
      </c>
    </row>
    <row r="580" spans="1:21" x14ac:dyDescent="0.35">
      <c r="A580">
        <v>566</v>
      </c>
      <c r="B580" t="s">
        <v>2114</v>
      </c>
      <c r="C580" s="1">
        <v>45619</v>
      </c>
      <c r="D580" s="1">
        <v>45621</v>
      </c>
      <c r="E580" t="s">
        <v>45</v>
      </c>
      <c r="F580" t="s">
        <v>2115</v>
      </c>
      <c r="G580" t="s">
        <v>301</v>
      </c>
      <c r="H580" t="s">
        <v>25</v>
      </c>
      <c r="I580" t="s">
        <v>26</v>
      </c>
      <c r="J580" t="s">
        <v>139</v>
      </c>
      <c r="K580" t="s">
        <v>139</v>
      </c>
      <c r="L580">
        <v>36325</v>
      </c>
      <c r="M580" t="s">
        <v>65</v>
      </c>
      <c r="N580" t="s">
        <v>576</v>
      </c>
      <c r="O580" t="s">
        <v>41</v>
      </c>
      <c r="P580" t="s">
        <v>134</v>
      </c>
      <c r="Q580" t="s">
        <v>135</v>
      </c>
      <c r="R580" s="2">
        <v>62.64</v>
      </c>
      <c r="S580">
        <v>5</v>
      </c>
      <c r="T580" s="3">
        <v>0.3</v>
      </c>
      <c r="U580" s="2">
        <v>0.08</v>
      </c>
    </row>
    <row r="581" spans="1:21" x14ac:dyDescent="0.35">
      <c r="A581">
        <v>487</v>
      </c>
      <c r="B581" t="s">
        <v>2116</v>
      </c>
      <c r="C581" s="1">
        <v>45622</v>
      </c>
      <c r="D581" s="1">
        <v>45624</v>
      </c>
      <c r="E581" t="s">
        <v>22</v>
      </c>
      <c r="F581" t="s">
        <v>2117</v>
      </c>
      <c r="G581" t="s">
        <v>1267</v>
      </c>
      <c r="H581" t="s">
        <v>54</v>
      </c>
      <c r="I581" t="s">
        <v>26</v>
      </c>
      <c r="J581" t="s">
        <v>139</v>
      </c>
      <c r="K581" t="s">
        <v>139</v>
      </c>
      <c r="L581">
        <v>82154</v>
      </c>
      <c r="M581" t="s">
        <v>65</v>
      </c>
      <c r="N581" t="s">
        <v>2118</v>
      </c>
      <c r="O581" t="s">
        <v>30</v>
      </c>
      <c r="P581" t="s">
        <v>31</v>
      </c>
      <c r="Q581" t="s">
        <v>1373</v>
      </c>
      <c r="R581" s="2">
        <v>243.78</v>
      </c>
      <c r="S581">
        <v>2</v>
      </c>
      <c r="T581" s="3">
        <v>0.1</v>
      </c>
      <c r="U581" s="2">
        <v>3.19</v>
      </c>
    </row>
    <row r="582" spans="1:21" x14ac:dyDescent="0.35">
      <c r="A582">
        <v>28</v>
      </c>
      <c r="B582" t="s">
        <v>2119</v>
      </c>
      <c r="C582" s="1">
        <v>45624</v>
      </c>
      <c r="D582" s="1">
        <v>45626</v>
      </c>
      <c r="E582" t="s">
        <v>34</v>
      </c>
      <c r="F582" t="s">
        <v>2120</v>
      </c>
      <c r="G582" t="s">
        <v>524</v>
      </c>
      <c r="H582" t="s">
        <v>37</v>
      </c>
      <c r="I582" t="s">
        <v>26</v>
      </c>
      <c r="J582" t="s">
        <v>277</v>
      </c>
      <c r="K582" t="s">
        <v>277</v>
      </c>
      <c r="L582">
        <v>31677</v>
      </c>
      <c r="M582" t="s">
        <v>56</v>
      </c>
      <c r="N582" t="s">
        <v>1315</v>
      </c>
      <c r="O582" t="s">
        <v>58</v>
      </c>
      <c r="P582" t="s">
        <v>112</v>
      </c>
      <c r="Q582" t="s">
        <v>2121</v>
      </c>
      <c r="R582" s="2">
        <v>111.23</v>
      </c>
      <c r="S582">
        <v>2</v>
      </c>
      <c r="T582" s="3">
        <v>0.5</v>
      </c>
      <c r="U582" s="2">
        <v>-5.56</v>
      </c>
    </row>
    <row r="583" spans="1:21" x14ac:dyDescent="0.35">
      <c r="A583">
        <v>69</v>
      </c>
      <c r="B583" t="s">
        <v>2122</v>
      </c>
      <c r="C583" s="1">
        <v>45624</v>
      </c>
      <c r="D583" s="1">
        <v>45625</v>
      </c>
      <c r="E583" t="s">
        <v>34</v>
      </c>
      <c r="F583" t="s">
        <v>2123</v>
      </c>
      <c r="G583" t="s">
        <v>416</v>
      </c>
      <c r="H583" t="s">
        <v>25</v>
      </c>
      <c r="I583" t="s">
        <v>26</v>
      </c>
      <c r="J583" t="s">
        <v>233</v>
      </c>
      <c r="K583" t="s">
        <v>233</v>
      </c>
      <c r="L583">
        <v>42413</v>
      </c>
      <c r="M583" t="s">
        <v>65</v>
      </c>
      <c r="N583" t="s">
        <v>698</v>
      </c>
      <c r="O583" t="s">
        <v>58</v>
      </c>
      <c r="P583" t="s">
        <v>59</v>
      </c>
      <c r="Q583" t="s">
        <v>1241</v>
      </c>
      <c r="R583" s="2">
        <v>42.29</v>
      </c>
      <c r="S583">
        <v>6</v>
      </c>
      <c r="T583" s="3">
        <v>0</v>
      </c>
      <c r="U583" s="2">
        <v>9.1300000000000008</v>
      </c>
    </row>
    <row r="584" spans="1:21" x14ac:dyDescent="0.35">
      <c r="A584">
        <v>278</v>
      </c>
      <c r="B584" t="s">
        <v>2124</v>
      </c>
      <c r="C584" s="1">
        <v>45624</v>
      </c>
      <c r="D584" s="1">
        <v>45627</v>
      </c>
      <c r="E584" t="s">
        <v>22</v>
      </c>
      <c r="F584" t="s">
        <v>2125</v>
      </c>
      <c r="G584" t="s">
        <v>1009</v>
      </c>
      <c r="H584" t="s">
        <v>37</v>
      </c>
      <c r="I584" t="s">
        <v>26</v>
      </c>
      <c r="J584" t="s">
        <v>472</v>
      </c>
      <c r="K584" t="s">
        <v>472</v>
      </c>
      <c r="L584">
        <v>16533</v>
      </c>
      <c r="M584" t="s">
        <v>56</v>
      </c>
      <c r="N584" t="s">
        <v>694</v>
      </c>
      <c r="O584" t="s">
        <v>30</v>
      </c>
      <c r="P584" t="s">
        <v>176</v>
      </c>
      <c r="Q584" t="s">
        <v>2043</v>
      </c>
      <c r="R584" s="2">
        <v>171.33</v>
      </c>
      <c r="S584">
        <v>5</v>
      </c>
      <c r="T584" s="3">
        <v>0.05</v>
      </c>
      <c r="U584" s="2">
        <v>14.55</v>
      </c>
    </row>
    <row r="585" spans="1:21" x14ac:dyDescent="0.35">
      <c r="A585">
        <v>76</v>
      </c>
      <c r="B585" t="s">
        <v>2126</v>
      </c>
      <c r="C585" s="1">
        <v>45631</v>
      </c>
      <c r="D585" s="1">
        <v>45634</v>
      </c>
      <c r="E585" t="s">
        <v>34</v>
      </c>
      <c r="F585" t="s">
        <v>2127</v>
      </c>
      <c r="G585" t="s">
        <v>87</v>
      </c>
      <c r="H585" t="s">
        <v>37</v>
      </c>
      <c r="I585" t="s">
        <v>26</v>
      </c>
      <c r="J585" t="s">
        <v>64</v>
      </c>
      <c r="K585" t="s">
        <v>64</v>
      </c>
      <c r="L585">
        <v>36660</v>
      </c>
      <c r="M585" t="s">
        <v>65</v>
      </c>
      <c r="N585" t="s">
        <v>579</v>
      </c>
      <c r="O585" t="s">
        <v>41</v>
      </c>
      <c r="P585" t="s">
        <v>106</v>
      </c>
      <c r="Q585" t="s">
        <v>2108</v>
      </c>
      <c r="R585" s="2">
        <v>46.3</v>
      </c>
      <c r="S585">
        <v>1</v>
      </c>
      <c r="T585" s="3">
        <v>0.5</v>
      </c>
      <c r="U585" s="2">
        <v>-7.42</v>
      </c>
    </row>
    <row r="586" spans="1:21" x14ac:dyDescent="0.35">
      <c r="A586">
        <v>222</v>
      </c>
      <c r="B586" t="s">
        <v>2128</v>
      </c>
      <c r="C586" s="1">
        <v>45633</v>
      </c>
      <c r="D586" s="1">
        <v>45636</v>
      </c>
      <c r="E586" t="s">
        <v>34</v>
      </c>
      <c r="F586" t="s">
        <v>2129</v>
      </c>
      <c r="G586" t="s">
        <v>545</v>
      </c>
      <c r="H586" t="s">
        <v>25</v>
      </c>
      <c r="I586" t="s">
        <v>26</v>
      </c>
      <c r="J586" t="s">
        <v>82</v>
      </c>
      <c r="K586" t="s">
        <v>82</v>
      </c>
      <c r="L586">
        <v>24026</v>
      </c>
      <c r="M586" t="s">
        <v>28</v>
      </c>
      <c r="N586" t="s">
        <v>2130</v>
      </c>
      <c r="O586" t="s">
        <v>41</v>
      </c>
      <c r="P586" t="s">
        <v>106</v>
      </c>
      <c r="Q586" t="s">
        <v>1577</v>
      </c>
      <c r="R586" s="2">
        <v>38.590000000000003</v>
      </c>
      <c r="S586">
        <v>5</v>
      </c>
      <c r="T586" s="3">
        <v>0.5</v>
      </c>
      <c r="U586" s="2">
        <v>-4.2300000000000004</v>
      </c>
    </row>
    <row r="587" spans="1:21" x14ac:dyDescent="0.35">
      <c r="A587">
        <v>319</v>
      </c>
      <c r="B587" t="s">
        <v>2131</v>
      </c>
      <c r="C587" s="1">
        <v>45634</v>
      </c>
      <c r="D587" s="1">
        <v>45639</v>
      </c>
      <c r="E587" t="s">
        <v>45</v>
      </c>
      <c r="F587" t="s">
        <v>2132</v>
      </c>
      <c r="G587" t="s">
        <v>608</v>
      </c>
      <c r="H587" t="s">
        <v>54</v>
      </c>
      <c r="I587" t="s">
        <v>26</v>
      </c>
      <c r="J587" t="s">
        <v>38</v>
      </c>
      <c r="K587" t="s">
        <v>38</v>
      </c>
      <c r="L587">
        <v>20681</v>
      </c>
      <c r="M587" t="s">
        <v>39</v>
      </c>
      <c r="N587" t="s">
        <v>1772</v>
      </c>
      <c r="O587" t="s">
        <v>58</v>
      </c>
      <c r="P587" t="s">
        <v>89</v>
      </c>
      <c r="Q587" t="s">
        <v>1393</v>
      </c>
      <c r="R587" s="2">
        <v>384.44</v>
      </c>
      <c r="S587">
        <v>5</v>
      </c>
      <c r="T587" s="3">
        <v>0.2</v>
      </c>
      <c r="U587" s="2">
        <v>33.97</v>
      </c>
    </row>
    <row r="588" spans="1:21" x14ac:dyDescent="0.35">
      <c r="A588">
        <v>453</v>
      </c>
      <c r="B588" t="s">
        <v>2133</v>
      </c>
      <c r="C588" s="1">
        <v>45636</v>
      </c>
      <c r="D588" s="1">
        <v>45640</v>
      </c>
      <c r="E588" t="s">
        <v>45</v>
      </c>
      <c r="F588" t="s">
        <v>2134</v>
      </c>
      <c r="G588" t="s">
        <v>1013</v>
      </c>
      <c r="H588" t="s">
        <v>37</v>
      </c>
      <c r="I588" t="s">
        <v>26</v>
      </c>
      <c r="J588" t="s">
        <v>27</v>
      </c>
      <c r="K588" t="s">
        <v>27</v>
      </c>
      <c r="L588">
        <v>22516</v>
      </c>
      <c r="M588" t="s">
        <v>28</v>
      </c>
      <c r="N588" t="s">
        <v>2135</v>
      </c>
      <c r="O588" t="s">
        <v>41</v>
      </c>
      <c r="P588" t="s">
        <v>134</v>
      </c>
      <c r="Q588" t="s">
        <v>1385</v>
      </c>
      <c r="R588" s="2">
        <v>106.36</v>
      </c>
      <c r="S588">
        <v>3</v>
      </c>
      <c r="T588" s="3">
        <v>0.3</v>
      </c>
      <c r="U588" s="2">
        <v>-7.48</v>
      </c>
    </row>
    <row r="589" spans="1:21" x14ac:dyDescent="0.35">
      <c r="A589">
        <v>459</v>
      </c>
      <c r="B589" t="s">
        <v>2136</v>
      </c>
      <c r="C589" s="1">
        <v>45641</v>
      </c>
      <c r="D589" s="1">
        <v>45644</v>
      </c>
      <c r="E589" t="s">
        <v>34</v>
      </c>
      <c r="F589" t="s">
        <v>2137</v>
      </c>
      <c r="G589" t="s">
        <v>856</v>
      </c>
      <c r="H589" t="s">
        <v>37</v>
      </c>
      <c r="I589" t="s">
        <v>26</v>
      </c>
      <c r="J589" t="s">
        <v>187</v>
      </c>
      <c r="K589" t="s">
        <v>187</v>
      </c>
      <c r="L589">
        <v>34853</v>
      </c>
      <c r="M589" t="s">
        <v>39</v>
      </c>
      <c r="N589" t="s">
        <v>1905</v>
      </c>
      <c r="O589" t="s">
        <v>30</v>
      </c>
      <c r="P589" t="s">
        <v>157</v>
      </c>
      <c r="Q589" t="s">
        <v>727</v>
      </c>
      <c r="R589" s="2">
        <v>162.44999999999999</v>
      </c>
      <c r="S589">
        <v>2</v>
      </c>
      <c r="T589" s="3">
        <v>0</v>
      </c>
      <c r="U589" s="2">
        <v>15.89</v>
      </c>
    </row>
    <row r="590" spans="1:21" x14ac:dyDescent="0.35">
      <c r="A590">
        <v>430</v>
      </c>
      <c r="B590" t="s">
        <v>2138</v>
      </c>
      <c r="C590" s="1">
        <v>45642</v>
      </c>
      <c r="D590" s="1">
        <v>45647</v>
      </c>
      <c r="E590" t="s">
        <v>34</v>
      </c>
      <c r="F590" t="s">
        <v>2139</v>
      </c>
      <c r="G590" t="s">
        <v>382</v>
      </c>
      <c r="H590" t="s">
        <v>25</v>
      </c>
      <c r="I590" t="s">
        <v>26</v>
      </c>
      <c r="J590" t="s">
        <v>38</v>
      </c>
      <c r="K590" t="s">
        <v>38</v>
      </c>
      <c r="L590">
        <v>34124</v>
      </c>
      <c r="M590" t="s">
        <v>39</v>
      </c>
      <c r="N590" t="s">
        <v>1233</v>
      </c>
      <c r="O590" t="s">
        <v>30</v>
      </c>
      <c r="P590" t="s">
        <v>157</v>
      </c>
      <c r="Q590" t="s">
        <v>1398</v>
      </c>
      <c r="R590" s="2">
        <v>184.05</v>
      </c>
      <c r="S590">
        <v>2</v>
      </c>
      <c r="T590" s="3">
        <v>0</v>
      </c>
      <c r="U590" s="2">
        <v>27.71</v>
      </c>
    </row>
    <row r="591" spans="1:21" x14ac:dyDescent="0.35">
      <c r="A591">
        <v>184</v>
      </c>
      <c r="B591" t="s">
        <v>2140</v>
      </c>
      <c r="C591" s="1">
        <v>45643</v>
      </c>
      <c r="D591" s="1">
        <v>45648</v>
      </c>
      <c r="E591" t="s">
        <v>45</v>
      </c>
      <c r="F591" t="s">
        <v>2141</v>
      </c>
      <c r="G591" t="s">
        <v>354</v>
      </c>
      <c r="H591" t="s">
        <v>54</v>
      </c>
      <c r="I591" t="s">
        <v>26</v>
      </c>
      <c r="J591" t="s">
        <v>168</v>
      </c>
      <c r="K591" t="s">
        <v>168</v>
      </c>
      <c r="L591">
        <v>12871</v>
      </c>
      <c r="M591" t="s">
        <v>28</v>
      </c>
      <c r="N591" t="s">
        <v>2142</v>
      </c>
      <c r="O591" t="s">
        <v>30</v>
      </c>
      <c r="P591" t="s">
        <v>157</v>
      </c>
      <c r="Q591" t="s">
        <v>572</v>
      </c>
      <c r="R591" s="2">
        <v>33.340000000000003</v>
      </c>
      <c r="S591">
        <v>1</v>
      </c>
      <c r="T591" s="3">
        <v>0</v>
      </c>
      <c r="U591" s="2">
        <v>3.54</v>
      </c>
    </row>
    <row r="592" spans="1:21" x14ac:dyDescent="0.35">
      <c r="A592">
        <v>235</v>
      </c>
      <c r="B592" t="s">
        <v>2143</v>
      </c>
      <c r="C592" s="1">
        <v>45643</v>
      </c>
      <c r="D592" s="1">
        <v>45645</v>
      </c>
      <c r="E592" t="s">
        <v>22</v>
      </c>
      <c r="F592" t="s">
        <v>2144</v>
      </c>
      <c r="G592" t="s">
        <v>686</v>
      </c>
      <c r="H592" t="s">
        <v>37</v>
      </c>
      <c r="I592" t="s">
        <v>26</v>
      </c>
      <c r="J592" t="s">
        <v>204</v>
      </c>
      <c r="K592" t="s">
        <v>204</v>
      </c>
      <c r="L592">
        <v>62509</v>
      </c>
      <c r="M592" t="s">
        <v>39</v>
      </c>
      <c r="N592" t="s">
        <v>2093</v>
      </c>
      <c r="O592" t="s">
        <v>30</v>
      </c>
      <c r="P592" t="s">
        <v>157</v>
      </c>
      <c r="Q592" t="s">
        <v>1684</v>
      </c>
      <c r="R592" s="2">
        <v>98.49</v>
      </c>
      <c r="S592">
        <v>5</v>
      </c>
      <c r="T592" s="3">
        <v>0.15</v>
      </c>
      <c r="U592" s="2">
        <v>0.51</v>
      </c>
    </row>
    <row r="593" spans="1:21" x14ac:dyDescent="0.35">
      <c r="A593">
        <v>110</v>
      </c>
      <c r="B593" t="s">
        <v>2145</v>
      </c>
      <c r="C593" s="1">
        <v>45645</v>
      </c>
      <c r="D593" s="1">
        <v>45648</v>
      </c>
      <c r="E593" t="s">
        <v>34</v>
      </c>
      <c r="F593" t="s">
        <v>2146</v>
      </c>
      <c r="G593" t="s">
        <v>520</v>
      </c>
      <c r="H593" t="s">
        <v>25</v>
      </c>
      <c r="I593" t="s">
        <v>26</v>
      </c>
      <c r="J593" t="s">
        <v>204</v>
      </c>
      <c r="K593" t="s">
        <v>204</v>
      </c>
      <c r="L593">
        <v>16406</v>
      </c>
      <c r="M593" t="s">
        <v>39</v>
      </c>
      <c r="N593" t="s">
        <v>2147</v>
      </c>
      <c r="O593" t="s">
        <v>30</v>
      </c>
      <c r="P593" t="s">
        <v>176</v>
      </c>
      <c r="Q593" t="s">
        <v>2025</v>
      </c>
      <c r="R593" s="2">
        <v>237.58</v>
      </c>
      <c r="S593">
        <v>7</v>
      </c>
      <c r="T593" s="3">
        <v>0.05</v>
      </c>
      <c r="U593" s="2">
        <v>40.229999999999997</v>
      </c>
    </row>
    <row r="594" spans="1:21" x14ac:dyDescent="0.35">
      <c r="A594">
        <v>484</v>
      </c>
      <c r="B594" t="s">
        <v>2148</v>
      </c>
      <c r="C594" s="1">
        <v>45647</v>
      </c>
      <c r="D594" s="1">
        <v>45650</v>
      </c>
      <c r="E594" t="s">
        <v>34</v>
      </c>
      <c r="F594" t="s">
        <v>531</v>
      </c>
      <c r="G594" t="s">
        <v>709</v>
      </c>
      <c r="H594" t="s">
        <v>37</v>
      </c>
      <c r="I594" t="s">
        <v>26</v>
      </c>
      <c r="J594" t="s">
        <v>71</v>
      </c>
      <c r="K594" t="s">
        <v>71</v>
      </c>
      <c r="L594">
        <v>76433</v>
      </c>
      <c r="M594" t="s">
        <v>56</v>
      </c>
      <c r="N594" t="s">
        <v>537</v>
      </c>
      <c r="O594" t="s">
        <v>30</v>
      </c>
      <c r="P594" t="s">
        <v>157</v>
      </c>
      <c r="Q594" t="s">
        <v>1405</v>
      </c>
      <c r="R594" s="2">
        <v>777.54</v>
      </c>
      <c r="S594">
        <v>6</v>
      </c>
      <c r="T594" s="3">
        <v>0.3</v>
      </c>
      <c r="U594" s="2">
        <v>-29.14</v>
      </c>
    </row>
    <row r="595" spans="1:21" x14ac:dyDescent="0.35">
      <c r="A595">
        <v>214</v>
      </c>
      <c r="B595" t="s">
        <v>2149</v>
      </c>
      <c r="C595" s="1">
        <v>45647</v>
      </c>
      <c r="D595" s="1">
        <v>45652</v>
      </c>
      <c r="E595" t="s">
        <v>34</v>
      </c>
      <c r="F595" t="s">
        <v>2150</v>
      </c>
      <c r="G595" t="s">
        <v>144</v>
      </c>
      <c r="H595" t="s">
        <v>25</v>
      </c>
      <c r="I595" t="s">
        <v>26</v>
      </c>
      <c r="J595" t="s">
        <v>139</v>
      </c>
      <c r="K595" t="s">
        <v>139</v>
      </c>
      <c r="L595">
        <v>87299</v>
      </c>
      <c r="M595" t="s">
        <v>65</v>
      </c>
      <c r="N595" t="s">
        <v>1128</v>
      </c>
      <c r="O595" t="s">
        <v>30</v>
      </c>
      <c r="P595" t="s">
        <v>100</v>
      </c>
      <c r="Q595" t="s">
        <v>2151</v>
      </c>
      <c r="R595" s="2">
        <v>348.06</v>
      </c>
      <c r="S595">
        <v>1</v>
      </c>
      <c r="T595" s="3">
        <v>0.15</v>
      </c>
      <c r="U595" s="2">
        <v>36.270000000000003</v>
      </c>
    </row>
    <row r="596" spans="1:21" x14ac:dyDescent="0.35">
      <c r="A596">
        <v>239</v>
      </c>
      <c r="B596" t="s">
        <v>2152</v>
      </c>
      <c r="C596" s="1">
        <v>45648</v>
      </c>
      <c r="D596" s="1">
        <v>45649</v>
      </c>
      <c r="E596" t="s">
        <v>34</v>
      </c>
      <c r="F596" t="s">
        <v>2153</v>
      </c>
      <c r="G596" t="s">
        <v>532</v>
      </c>
      <c r="H596" t="s">
        <v>37</v>
      </c>
      <c r="I596" t="s">
        <v>26</v>
      </c>
      <c r="J596" t="s">
        <v>38</v>
      </c>
      <c r="K596" t="s">
        <v>38</v>
      </c>
      <c r="L596">
        <v>87475</v>
      </c>
      <c r="M596" t="s">
        <v>39</v>
      </c>
      <c r="N596" t="s">
        <v>2154</v>
      </c>
      <c r="O596" t="s">
        <v>30</v>
      </c>
      <c r="P596" t="s">
        <v>31</v>
      </c>
      <c r="Q596" t="s">
        <v>431</v>
      </c>
      <c r="R596" s="2">
        <v>167.68</v>
      </c>
      <c r="S596">
        <v>7</v>
      </c>
      <c r="T596" s="3">
        <v>0.2</v>
      </c>
      <c r="U596" s="2">
        <v>-17.399999999999999</v>
      </c>
    </row>
    <row r="597" spans="1:21" x14ac:dyDescent="0.35">
      <c r="A597">
        <v>336</v>
      </c>
      <c r="B597" t="s">
        <v>2155</v>
      </c>
      <c r="C597" s="1">
        <v>45648</v>
      </c>
      <c r="D597" s="1">
        <v>45652</v>
      </c>
      <c r="E597" t="s">
        <v>34</v>
      </c>
      <c r="F597" t="s">
        <v>2156</v>
      </c>
      <c r="G597" t="s">
        <v>421</v>
      </c>
      <c r="H597" t="s">
        <v>25</v>
      </c>
      <c r="I597" t="s">
        <v>26</v>
      </c>
      <c r="J597" t="s">
        <v>71</v>
      </c>
      <c r="K597" t="s">
        <v>71</v>
      </c>
      <c r="L597">
        <v>67104</v>
      </c>
      <c r="M597" t="s">
        <v>56</v>
      </c>
      <c r="N597" t="s">
        <v>1326</v>
      </c>
      <c r="O597" t="s">
        <v>58</v>
      </c>
      <c r="P597" t="s">
        <v>89</v>
      </c>
      <c r="Q597" t="s">
        <v>1896</v>
      </c>
      <c r="R597" s="2">
        <v>399.38</v>
      </c>
      <c r="S597">
        <v>2</v>
      </c>
      <c r="T597" s="3">
        <v>0.4</v>
      </c>
      <c r="U597" s="2">
        <v>-19.62</v>
      </c>
    </row>
    <row r="598" spans="1:21" x14ac:dyDescent="0.35">
      <c r="A598">
        <v>472</v>
      </c>
      <c r="B598" t="s">
        <v>2157</v>
      </c>
      <c r="C598" s="1">
        <v>45650</v>
      </c>
      <c r="D598" s="1">
        <v>45653</v>
      </c>
      <c r="E598" t="s">
        <v>34</v>
      </c>
      <c r="F598" t="s">
        <v>2158</v>
      </c>
      <c r="G598" t="s">
        <v>892</v>
      </c>
      <c r="H598" t="s">
        <v>37</v>
      </c>
      <c r="I598" t="s">
        <v>26</v>
      </c>
      <c r="J598" t="s">
        <v>64</v>
      </c>
      <c r="K598" t="s">
        <v>64</v>
      </c>
      <c r="L598">
        <v>69949</v>
      </c>
      <c r="M598" t="s">
        <v>65</v>
      </c>
      <c r="N598" t="s">
        <v>2159</v>
      </c>
      <c r="O598" t="s">
        <v>30</v>
      </c>
      <c r="P598" t="s">
        <v>31</v>
      </c>
      <c r="Q598" t="s">
        <v>294</v>
      </c>
      <c r="R598" s="2">
        <v>94.93</v>
      </c>
      <c r="S598">
        <v>3</v>
      </c>
      <c r="T598" s="3">
        <v>0</v>
      </c>
      <c r="U598" s="2">
        <v>14.93</v>
      </c>
    </row>
    <row r="599" spans="1:21" x14ac:dyDescent="0.35">
      <c r="A599">
        <v>230</v>
      </c>
      <c r="B599" t="s">
        <v>2160</v>
      </c>
      <c r="C599" s="1">
        <v>45650</v>
      </c>
      <c r="D599" s="1">
        <v>45653</v>
      </c>
      <c r="E599" t="s">
        <v>34</v>
      </c>
      <c r="F599" t="s">
        <v>2161</v>
      </c>
      <c r="G599" t="s">
        <v>951</v>
      </c>
      <c r="H599" t="s">
        <v>25</v>
      </c>
      <c r="I599" t="s">
        <v>26</v>
      </c>
      <c r="J599" t="s">
        <v>187</v>
      </c>
      <c r="K599" t="s">
        <v>187</v>
      </c>
      <c r="L599">
        <v>68870</v>
      </c>
      <c r="M599" t="s">
        <v>39</v>
      </c>
      <c r="N599" t="s">
        <v>2162</v>
      </c>
      <c r="O599" t="s">
        <v>41</v>
      </c>
      <c r="P599" t="s">
        <v>106</v>
      </c>
      <c r="Q599" t="s">
        <v>502</v>
      </c>
      <c r="R599" s="2">
        <v>78.5</v>
      </c>
      <c r="S599">
        <v>2</v>
      </c>
      <c r="T599" s="3">
        <v>0.2</v>
      </c>
      <c r="U599" s="2">
        <v>6.02</v>
      </c>
    </row>
    <row r="600" spans="1:21" x14ac:dyDescent="0.35">
      <c r="A600">
        <v>478</v>
      </c>
      <c r="B600" t="s">
        <v>2163</v>
      </c>
      <c r="C600" s="1">
        <v>45652</v>
      </c>
      <c r="D600" s="1">
        <v>45654</v>
      </c>
      <c r="E600" t="s">
        <v>45</v>
      </c>
      <c r="F600" t="s">
        <v>2017</v>
      </c>
      <c r="G600" t="s">
        <v>1057</v>
      </c>
      <c r="H600" t="s">
        <v>25</v>
      </c>
      <c r="I600" t="s">
        <v>26</v>
      </c>
      <c r="J600" t="s">
        <v>162</v>
      </c>
      <c r="K600" t="s">
        <v>162</v>
      </c>
      <c r="L600">
        <v>42430</v>
      </c>
      <c r="M600" t="s">
        <v>28</v>
      </c>
      <c r="N600" t="s">
        <v>2164</v>
      </c>
      <c r="O600" t="s">
        <v>30</v>
      </c>
      <c r="P600" t="s">
        <v>100</v>
      </c>
      <c r="Q600" t="s">
        <v>790</v>
      </c>
      <c r="R600" s="2">
        <v>67.290000000000006</v>
      </c>
      <c r="S600">
        <v>7</v>
      </c>
      <c r="T600" s="3">
        <v>0</v>
      </c>
      <c r="U600" s="2">
        <v>11.68</v>
      </c>
    </row>
    <row r="601" spans="1:21" x14ac:dyDescent="0.35">
      <c r="A601">
        <v>294</v>
      </c>
      <c r="B601" t="s">
        <v>2165</v>
      </c>
      <c r="C601" s="1">
        <v>45654</v>
      </c>
      <c r="D601" s="1">
        <v>45657</v>
      </c>
      <c r="E601" t="s">
        <v>22</v>
      </c>
      <c r="F601" t="s">
        <v>2166</v>
      </c>
      <c r="G601" t="s">
        <v>788</v>
      </c>
      <c r="H601" t="s">
        <v>37</v>
      </c>
      <c r="I601" t="s">
        <v>26</v>
      </c>
      <c r="J601" t="s">
        <v>162</v>
      </c>
      <c r="K601" t="s">
        <v>162</v>
      </c>
      <c r="L601">
        <v>69658</v>
      </c>
      <c r="M601" t="s">
        <v>28</v>
      </c>
      <c r="N601" t="s">
        <v>2167</v>
      </c>
      <c r="O601" t="s">
        <v>58</v>
      </c>
      <c r="P601" t="s">
        <v>307</v>
      </c>
      <c r="Q601" t="s">
        <v>1739</v>
      </c>
      <c r="R601" s="2">
        <v>108.23</v>
      </c>
      <c r="S601">
        <v>3</v>
      </c>
      <c r="T601" s="3">
        <v>0</v>
      </c>
      <c r="U601" s="2">
        <v>31.96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8339-9E71-4520-93D8-697BA06F89D1}">
  <dimension ref="A1:B8"/>
  <sheetViews>
    <sheetView tabSelected="1" workbookViewId="0">
      <selection activeCell="D6" sqref="D6"/>
    </sheetView>
  </sheetViews>
  <sheetFormatPr defaultRowHeight="14.5" x14ac:dyDescent="0.35"/>
  <cols>
    <col min="1" max="1" width="37.54296875" customWidth="1"/>
    <col min="2" max="2" width="32" style="5" customWidth="1"/>
  </cols>
  <sheetData>
    <row r="1" spans="1:2" ht="30" customHeight="1" x14ac:dyDescent="0.55000000000000004">
      <c r="A1" s="7" t="s">
        <v>2168</v>
      </c>
      <c r="B1" s="7"/>
    </row>
    <row r="2" spans="1:2" ht="30" customHeight="1" x14ac:dyDescent="0.35">
      <c r="A2" t="s">
        <v>2169</v>
      </c>
    </row>
    <row r="3" spans="1:2" ht="30" customHeight="1" x14ac:dyDescent="0.55000000000000004">
      <c r="A3" s="8" t="s">
        <v>2170</v>
      </c>
      <c r="B3" s="8" t="s">
        <v>2171</v>
      </c>
    </row>
    <row r="4" spans="1:2" ht="30" customHeight="1" x14ac:dyDescent="0.45">
      <c r="A4" s="9" t="s">
        <v>2172</v>
      </c>
      <c r="B4" s="10">
        <f>SUM(Orders[Sales])</f>
        <v>95173.09000000004</v>
      </c>
    </row>
    <row r="5" spans="1:2" ht="30" customHeight="1" x14ac:dyDescent="0.45">
      <c r="A5" s="9" t="s">
        <v>2173</v>
      </c>
      <c r="B5" s="11">
        <f>SUM(Orders[Quantity])</f>
        <v>2361</v>
      </c>
    </row>
    <row r="6" spans="1:2" ht="30" customHeight="1" x14ac:dyDescent="0.45">
      <c r="A6" s="9" t="s">
        <v>2174</v>
      </c>
      <c r="B6" s="6">
        <f>COUNTA(Orders[Order ID])</f>
        <v>600</v>
      </c>
    </row>
    <row r="7" spans="1:2" ht="30" customHeight="1" x14ac:dyDescent="0.45">
      <c r="A7" s="9" t="s">
        <v>2175</v>
      </c>
      <c r="B7" s="10">
        <f>SUM(Orders[Sales])/COUNTA(Orders[Order ID])</f>
        <v>158.62181666666675</v>
      </c>
    </row>
    <row r="8" spans="1:2" ht="30" customHeight="1" x14ac:dyDescent="0.45">
      <c r="A8" s="9" t="s">
        <v>2176</v>
      </c>
      <c r="B8" s="6" t="str" cm="1">
        <f t="array" ref="B8">_xlfn.LET(_xlpm.p,_xlfn.UNIQUE(Orders[Product Name]),_xlpm.s,SUMIF(Orders[Product Name],_xlpm.p,Orders[Sales]),INDEX(_xlpm.p,MATCH(MAX(_xlpm.s),_xlpm.s,0)))</f>
        <v>Copiers Product 26</v>
      </c>
    </row>
  </sheetData>
  <mergeCells count="1">
    <mergeCell ref="A1:B1"/>
  </mergeCells>
  <conditionalFormatting sqref="A4:B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Data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 sharma</cp:lastModifiedBy>
  <dcterms:created xsi:type="dcterms:W3CDTF">2026-09-11T08:12:14Z</dcterms:created>
  <dcterms:modified xsi:type="dcterms:W3CDTF">2026-09-17T13:19:04Z</dcterms:modified>
</cp:coreProperties>
</file>